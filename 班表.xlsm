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4C5E75B-BE01-49CA-B1AD-0B77B9E633CF}" xr6:coauthVersionLast="47" xr6:coauthVersionMax="47" xr10:uidLastSave="{00000000-0000-0000-0000-000000000000}"/>
  <bookViews>
    <workbookView xWindow="-103" yWindow="-103" windowWidth="22149" windowHeight="11829" xr2:uid="{00000000-000D-0000-FFFF-FFFF00000000}"/>
  </bookViews>
  <sheets>
    <sheet name="員工出勤表" sheetId="1" r:id="rId1"/>
    <sheet name="對照表" sheetId="2" r:id="rId2"/>
  </sheets>
  <calcPr calcId="191029"/>
</workbook>
</file>

<file path=xl/calcChain.xml><?xml version="1.0" encoding="utf-8"?>
<calcChain xmlns="http://schemas.openxmlformats.org/spreadsheetml/2006/main">
  <c r="AJ25" i="1" l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13" i="1" l="1"/>
  <c r="A14" i="1"/>
  <c r="A15" i="1"/>
  <c r="A16" i="1"/>
  <c r="A17" i="1"/>
  <c r="A18" i="1"/>
  <c r="A19" i="1"/>
  <c r="A20" i="1"/>
  <c r="A21" i="1"/>
  <c r="A22" i="1"/>
  <c r="A23" i="1"/>
  <c r="I27" i="1"/>
  <c r="F27" i="1"/>
  <c r="G27" i="1"/>
  <c r="H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E27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8" i="1"/>
  <c r="AJ9" i="1"/>
  <c r="AJ10" i="1"/>
  <c r="AJ8" i="1"/>
  <c r="AM9" i="1" l="1"/>
  <c r="AM10" i="1"/>
  <c r="AM12" i="1"/>
  <c r="AM24" i="1"/>
  <c r="AM25" i="1"/>
  <c r="AM8" i="1"/>
  <c r="AL9" i="1"/>
  <c r="AL10" i="1"/>
  <c r="AL12" i="1"/>
  <c r="AL24" i="1"/>
  <c r="AL25" i="1"/>
  <c r="AL8" i="1"/>
  <c r="E6" i="1" l="1"/>
  <c r="F6" i="1" l="1"/>
  <c r="F7" i="1" s="1"/>
  <c r="E7" i="1"/>
  <c r="G6" i="1" l="1"/>
  <c r="G7" i="1" s="1"/>
  <c r="H6" i="1" l="1"/>
  <c r="H7" i="1" s="1"/>
  <c r="I6" i="1" l="1"/>
  <c r="I7" i="1" s="1"/>
  <c r="J6" i="1" l="1"/>
  <c r="J7" i="1" s="1"/>
  <c r="K6" i="1" l="1"/>
  <c r="K7" i="1" s="1"/>
  <c r="L6" i="1" l="1"/>
  <c r="L7" i="1" s="1"/>
  <c r="M6" i="1" l="1"/>
  <c r="M7" i="1" s="1"/>
  <c r="N6" i="1" l="1"/>
  <c r="N7" i="1" s="1"/>
  <c r="O6" i="1" l="1"/>
  <c r="O7" i="1" s="1"/>
  <c r="AM11" i="1" l="1"/>
  <c r="AL11" i="1"/>
  <c r="P6" i="1"/>
  <c r="P7" i="1" s="1"/>
  <c r="Q6" i="1" l="1"/>
  <c r="Q7" i="1" s="1"/>
  <c r="AN15" i="1" l="1"/>
  <c r="AO15" i="1"/>
  <c r="AO21" i="1"/>
  <c r="AN21" i="1"/>
  <c r="R6" i="1"/>
  <c r="R7" i="1" s="1"/>
  <c r="S6" i="1" l="1"/>
  <c r="S7" i="1" s="1"/>
  <c r="T6" i="1" l="1"/>
  <c r="T7" i="1" s="1"/>
  <c r="AL14" i="1" l="1"/>
  <c r="AM14" i="1"/>
  <c r="U6" i="1"/>
  <c r="U7" i="1" s="1"/>
  <c r="V6" i="1" l="1"/>
  <c r="V7" i="1" s="1"/>
  <c r="W6" i="1" l="1"/>
  <c r="W7" i="1" s="1"/>
  <c r="X6" i="1" l="1"/>
  <c r="X7" i="1" s="1"/>
  <c r="Y6" i="1" l="1"/>
  <c r="Y7" i="1" s="1"/>
  <c r="AO12" i="1" l="1"/>
  <c r="AN12" i="1"/>
  <c r="Z6" i="1"/>
  <c r="Z7" i="1" s="1"/>
  <c r="AM22" i="1" l="1"/>
  <c r="AL22" i="1"/>
  <c r="AA6" i="1"/>
  <c r="AA7" i="1" s="1"/>
  <c r="AN22" i="1" l="1"/>
  <c r="AB6" i="1"/>
  <c r="AB7" i="1" s="1"/>
  <c r="AM23" i="1" s="1"/>
  <c r="AO22" i="1" l="1"/>
  <c r="AL23" i="1"/>
  <c r="AC6" i="1"/>
  <c r="AC7" i="1" s="1"/>
  <c r="AN19" i="1" l="1"/>
  <c r="AO19" i="1"/>
  <c r="AD6" i="1"/>
  <c r="AD7" i="1" s="1"/>
  <c r="AE6" i="1" l="1"/>
  <c r="AE7" i="1" s="1"/>
  <c r="AN23" i="1" l="1"/>
  <c r="AO23" i="1"/>
  <c r="AM19" i="1"/>
  <c r="AL19" i="1"/>
  <c r="AF6" i="1"/>
  <c r="AF7" i="1" s="1"/>
  <c r="AM18" i="1" l="1"/>
  <c r="AL18" i="1"/>
  <c r="AM20" i="1"/>
  <c r="AL20" i="1"/>
  <c r="AG6" i="1"/>
  <c r="AG7" i="1" s="1"/>
  <c r="AM17" i="1" l="1"/>
  <c r="AL17" i="1"/>
  <c r="AH6" i="1"/>
  <c r="AH7" i="1" s="1"/>
  <c r="AO16" i="1" l="1"/>
  <c r="AO10" i="1"/>
  <c r="AN10" i="1"/>
  <c r="AN16" i="1"/>
  <c r="AL21" i="1"/>
  <c r="AM21" i="1"/>
  <c r="AI6" i="1"/>
  <c r="AI7" i="1" s="1"/>
  <c r="AO24" i="1" l="1"/>
  <c r="AN24" i="1"/>
  <c r="AO9" i="1"/>
  <c r="AO13" i="1"/>
  <c r="AO17" i="1"/>
  <c r="AN11" i="1"/>
  <c r="AO8" i="1"/>
  <c r="AN8" i="1"/>
  <c r="AO11" i="1"/>
  <c r="AN9" i="1"/>
  <c r="AN13" i="1"/>
  <c r="AN17" i="1"/>
  <c r="AO14" i="1"/>
  <c r="AO18" i="1"/>
  <c r="AO25" i="1"/>
  <c r="AN20" i="1"/>
  <c r="AO20" i="1"/>
  <c r="AN14" i="1"/>
  <c r="AN18" i="1"/>
  <c r="AN25" i="1"/>
  <c r="AM16" i="1"/>
  <c r="AL16" i="1"/>
  <c r="AM15" i="1"/>
  <c r="AL15" i="1"/>
  <c r="B19" i="1"/>
  <c r="B18" i="1"/>
  <c r="B17" i="1"/>
  <c r="B16" i="1"/>
  <c r="B20" i="1"/>
  <c r="B14" i="1"/>
  <c r="B15" i="1"/>
  <c r="B22" i="1"/>
  <c r="AM13" i="1"/>
  <c r="AL13" i="1"/>
  <c r="B21" i="1"/>
  <c r="B23" i="1"/>
  <c r="B13" i="1"/>
</calcChain>
</file>

<file path=xl/sharedStrings.xml><?xml version="1.0" encoding="utf-8"?>
<sst xmlns="http://schemas.openxmlformats.org/spreadsheetml/2006/main" count="465" uniqueCount="176">
  <si>
    <t>休六天數</t>
    <phoneticPr fontId="1" type="noConversion"/>
  </si>
  <si>
    <t>休日天數</t>
    <phoneticPr fontId="1" type="noConversion"/>
  </si>
  <si>
    <t>班別</t>
    <phoneticPr fontId="1" type="noConversion"/>
  </si>
  <si>
    <t>日期</t>
    <phoneticPr fontId="1" type="noConversion"/>
  </si>
  <si>
    <t>組長</t>
    <phoneticPr fontId="1" type="noConversion"/>
  </si>
  <si>
    <t>副組長</t>
    <phoneticPr fontId="1" type="noConversion"/>
  </si>
  <si>
    <t>小組長</t>
    <phoneticPr fontId="1" type="noConversion"/>
  </si>
  <si>
    <t>正-1</t>
    <phoneticPr fontId="1" type="noConversion"/>
  </si>
  <si>
    <t>正-2</t>
    <phoneticPr fontId="1" type="noConversion"/>
  </si>
  <si>
    <t>輪-1</t>
    <phoneticPr fontId="1" type="noConversion"/>
  </si>
  <si>
    <t>輪-2</t>
  </si>
  <si>
    <t>輪-3</t>
  </si>
  <si>
    <t>輪-4</t>
  </si>
  <si>
    <t>輪-5</t>
  </si>
  <si>
    <t>輪-6</t>
  </si>
  <si>
    <t>輪-7</t>
  </si>
  <si>
    <t>輪-8</t>
  </si>
  <si>
    <t>輪-9</t>
  </si>
  <si>
    <t>輪-10</t>
  </si>
  <si>
    <t>輪-11</t>
  </si>
  <si>
    <t>服務台(正-3)</t>
    <phoneticPr fontId="1" type="noConversion"/>
  </si>
  <si>
    <t>服務台(正-4)</t>
    <phoneticPr fontId="1" type="noConversion"/>
  </si>
  <si>
    <t>年度</t>
    <phoneticPr fontId="1" type="noConversion"/>
  </si>
  <si>
    <t>月份</t>
    <phoneticPr fontId="1" type="noConversion"/>
  </si>
  <si>
    <t>休假天數</t>
    <phoneticPr fontId="1" type="noConversion"/>
  </si>
  <si>
    <t>小夜天數</t>
    <phoneticPr fontId="1" type="noConversion"/>
  </si>
  <si>
    <t>上六小夜</t>
    <phoneticPr fontId="1" type="noConversion"/>
  </si>
  <si>
    <t>上日小夜</t>
    <phoneticPr fontId="1" type="noConversion"/>
  </si>
  <si>
    <t>星期五</t>
  </si>
  <si>
    <t>元旦</t>
  </si>
  <si>
    <t>中華民國開國紀念日</t>
  </si>
  <si>
    <t>星期三 ～ 星期二</t>
  </si>
  <si>
    <t>春節</t>
  </si>
  <si>
    <t>星期日</t>
  </si>
  <si>
    <t>228 紀念日</t>
  </si>
  <si>
    <t>星期一</t>
  </si>
  <si>
    <t>228 紀念日 (放假日)</t>
  </si>
  <si>
    <t>兒童節 (放假日)</t>
  </si>
  <si>
    <t>兒童節</t>
  </si>
  <si>
    <t>清明節</t>
  </si>
  <si>
    <t>清明節 (放假日)</t>
  </si>
  <si>
    <t>星期六</t>
  </si>
  <si>
    <t>勞動節 *</t>
  </si>
  <si>
    <t>端午節</t>
  </si>
  <si>
    <t>中秋節 (放假日)</t>
  </si>
  <si>
    <t>星期二</t>
  </si>
  <si>
    <t>中秋節</t>
  </si>
  <si>
    <t>中華民國國慶日</t>
  </si>
  <si>
    <t>中華民國國慶日 (放假日)</t>
  </si>
  <si>
    <t>中華民國開國紀念日 (放假日)</t>
  </si>
  <si>
    <t>莉娟</t>
    <phoneticPr fontId="1" type="noConversion"/>
  </si>
  <si>
    <t>麗雯</t>
    <phoneticPr fontId="1" type="noConversion"/>
  </si>
  <si>
    <t>佩君</t>
    <phoneticPr fontId="1" type="noConversion"/>
  </si>
  <si>
    <t>姓名</t>
    <phoneticPr fontId="1" type="noConversion"/>
  </si>
  <si>
    <t>欣怡</t>
    <phoneticPr fontId="1" type="noConversion"/>
  </si>
  <si>
    <t>婉霏</t>
    <phoneticPr fontId="1" type="noConversion"/>
  </si>
  <si>
    <t>文雄</t>
    <phoneticPr fontId="1" type="noConversion"/>
  </si>
  <si>
    <t>芬萍</t>
    <phoneticPr fontId="1" type="noConversion"/>
  </si>
  <si>
    <t>勇得</t>
    <phoneticPr fontId="1" type="noConversion"/>
  </si>
  <si>
    <t>冠博</t>
    <phoneticPr fontId="1" type="noConversion"/>
  </si>
  <si>
    <t>冠汝</t>
    <phoneticPr fontId="1" type="noConversion"/>
  </si>
  <si>
    <t>詣勛</t>
    <phoneticPr fontId="1" type="noConversion"/>
  </si>
  <si>
    <t>安蓁</t>
    <phoneticPr fontId="1" type="noConversion"/>
  </si>
  <si>
    <t>丁丁</t>
    <phoneticPr fontId="1" type="noConversion"/>
  </si>
  <si>
    <t>婷瑩</t>
    <phoneticPr fontId="1" type="noConversion"/>
  </si>
  <si>
    <t>醫療服務組-排班表</t>
    <phoneticPr fontId="1" type="noConversion"/>
  </si>
  <si>
    <t>多一個W日</t>
    <phoneticPr fontId="1" type="noConversion"/>
  </si>
  <si>
    <t>*月初大夜人員-列印前月份每日交帳表</t>
    <phoneticPr fontId="1" type="noConversion"/>
  </si>
  <si>
    <t>*月底大夜人員-請務必執行對講機充電</t>
    <phoneticPr fontId="1" type="noConversion"/>
  </si>
  <si>
    <t>星期</t>
    <phoneticPr fontId="1" type="noConversion"/>
  </si>
  <si>
    <t>莉娟</t>
  </si>
  <si>
    <t>麗雯</t>
  </si>
  <si>
    <t>佩君</t>
  </si>
  <si>
    <t>週二休假</t>
    <phoneticPr fontId="1" type="noConversion"/>
  </si>
  <si>
    <t>週一休假</t>
    <phoneticPr fontId="1" type="noConversion"/>
  </si>
  <si>
    <t>芷芸</t>
    <phoneticPr fontId="1" type="noConversion"/>
  </si>
  <si>
    <t>星期三</t>
  </si>
  <si>
    <t>星期四</t>
  </si>
  <si>
    <t>元旦</t>
    <phoneticPr fontId="1" type="noConversion"/>
  </si>
  <si>
    <t>春節</t>
    <phoneticPr fontId="1" type="noConversion"/>
  </si>
  <si>
    <t>228紀念日</t>
    <phoneticPr fontId="1" type="noConversion"/>
  </si>
  <si>
    <t>229紀念日</t>
  </si>
  <si>
    <t>230紀念日</t>
  </si>
  <si>
    <t>清明節</t>
    <phoneticPr fontId="1" type="noConversion"/>
  </si>
  <si>
    <t>勞動節</t>
    <phoneticPr fontId="1" type="noConversion"/>
  </si>
  <si>
    <t>端午節</t>
    <phoneticPr fontId="1" type="noConversion"/>
  </si>
  <si>
    <t>中秋節</t>
    <phoneticPr fontId="1" type="noConversion"/>
  </si>
  <si>
    <t>國慶日</t>
    <phoneticPr fontId="1" type="noConversion"/>
  </si>
  <si>
    <t>112年元旦</t>
    <phoneticPr fontId="1" type="noConversion"/>
  </si>
  <si>
    <t>琦崴</t>
    <phoneticPr fontId="1" type="noConversion"/>
  </si>
  <si>
    <t>休假人數</t>
    <phoneticPr fontId="1" type="noConversion"/>
  </si>
  <si>
    <t>星期日</t>
    <phoneticPr fontId="1" type="noConversion"/>
  </si>
  <si>
    <t>星期一</t>
    <phoneticPr fontId="1" type="noConversion"/>
  </si>
  <si>
    <t>星期五</t>
    <phoneticPr fontId="1" type="noConversion"/>
  </si>
  <si>
    <t>除夕</t>
    <phoneticPr fontId="1" type="noConversion"/>
  </si>
  <si>
    <t>星期六</t>
    <phoneticPr fontId="1" type="noConversion"/>
  </si>
  <si>
    <t>星期四</t>
    <phoneticPr fontId="1" type="noConversion"/>
  </si>
  <si>
    <t>俊穎</t>
    <phoneticPr fontId="1" type="noConversion"/>
  </si>
  <si>
    <t>惠琳</t>
    <phoneticPr fontId="1" type="noConversion"/>
  </si>
  <si>
    <t>欄1</t>
  </si>
  <si>
    <t>鈺珊</t>
    <phoneticPr fontId="1" type="noConversion"/>
  </si>
  <si>
    <t>CO</t>
    <phoneticPr fontId="1" type="noConversion"/>
  </si>
  <si>
    <r>
      <t>CO</t>
    </r>
    <r>
      <rPr>
        <vertAlign val="superscript"/>
        <sz val="16"/>
        <color theme="1"/>
        <rFont val="新細明體"/>
        <family val="1"/>
        <charset val="136"/>
      </rPr>
      <t>☆</t>
    </r>
    <phoneticPr fontId="1" type="noConversion"/>
  </si>
  <si>
    <t>H5</t>
    <phoneticPr fontId="1" type="noConversion"/>
  </si>
  <si>
    <t>I3</t>
    <phoneticPr fontId="1" type="noConversion"/>
  </si>
  <si>
    <t>A3</t>
    <phoneticPr fontId="1" type="noConversion"/>
  </si>
  <si>
    <t>D6</t>
    <phoneticPr fontId="1" type="noConversion"/>
  </si>
  <si>
    <t>D7</t>
    <phoneticPr fontId="1" type="noConversion"/>
  </si>
  <si>
    <r>
      <t>D</t>
    </r>
    <r>
      <rPr>
        <vertAlign val="superscript"/>
        <sz val="18"/>
        <color theme="1"/>
        <rFont val="新細明體"/>
        <family val="1"/>
        <charset val="136"/>
      </rPr>
      <t>△</t>
    </r>
    <phoneticPr fontId="1" type="noConversion"/>
  </si>
  <si>
    <r>
      <t>D</t>
    </r>
    <r>
      <rPr>
        <vertAlign val="superscript"/>
        <sz val="18"/>
        <color theme="1"/>
        <rFont val="新細明體"/>
        <family val="1"/>
        <charset val="136"/>
        <scheme val="minor"/>
      </rPr>
      <t>▲</t>
    </r>
    <phoneticPr fontId="1" type="noConversion"/>
  </si>
  <si>
    <t>S2</t>
    <phoneticPr fontId="1" type="noConversion"/>
  </si>
  <si>
    <t>E6</t>
    <phoneticPr fontId="1" type="noConversion"/>
  </si>
  <si>
    <r>
      <t>E</t>
    </r>
    <r>
      <rPr>
        <vertAlign val="superscript"/>
        <sz val="18"/>
        <color theme="1"/>
        <rFont val="新細明體"/>
        <family val="1"/>
        <charset val="136"/>
        <scheme val="minor"/>
      </rPr>
      <t>△</t>
    </r>
    <phoneticPr fontId="1" type="noConversion"/>
  </si>
  <si>
    <r>
      <t>E</t>
    </r>
    <r>
      <rPr>
        <vertAlign val="superscript"/>
        <sz val="18"/>
        <color theme="1"/>
        <rFont val="新細明體"/>
        <family val="1"/>
        <charset val="136"/>
        <scheme val="minor"/>
      </rPr>
      <t>▲</t>
    </r>
    <phoneticPr fontId="1" type="noConversion"/>
  </si>
  <si>
    <t>W7</t>
    <phoneticPr fontId="1" type="noConversion"/>
  </si>
  <si>
    <r>
      <t>T</t>
    </r>
    <r>
      <rPr>
        <vertAlign val="superscript"/>
        <sz val="18"/>
        <color theme="1"/>
        <rFont val="新細明體"/>
        <family val="1"/>
        <charset val="136"/>
        <scheme val="minor"/>
      </rPr>
      <t>台</t>
    </r>
    <phoneticPr fontId="1" type="noConversion"/>
  </si>
  <si>
    <t>M台</t>
    <phoneticPr fontId="1" type="noConversion"/>
  </si>
  <si>
    <r>
      <t>D1</t>
    </r>
    <r>
      <rPr>
        <vertAlign val="superscript"/>
        <sz val="18"/>
        <color theme="1"/>
        <rFont val="新細明體"/>
        <family val="1"/>
        <charset val="136"/>
        <scheme val="minor"/>
      </rPr>
      <t>台</t>
    </r>
    <phoneticPr fontId="1" type="noConversion"/>
  </si>
  <si>
    <t>Y7</t>
    <phoneticPr fontId="1" type="noConversion"/>
  </si>
  <si>
    <t>N</t>
    <phoneticPr fontId="1" type="noConversion"/>
  </si>
  <si>
    <t>V</t>
    <phoneticPr fontId="1" type="noConversion"/>
  </si>
  <si>
    <t>/</t>
    <phoneticPr fontId="1" type="noConversion"/>
  </si>
  <si>
    <t>Co辦</t>
    <phoneticPr fontId="1" type="noConversion"/>
  </si>
  <si>
    <t>公</t>
    <phoneticPr fontId="1" type="noConversion"/>
  </si>
  <si>
    <t>病</t>
    <phoneticPr fontId="1" type="noConversion"/>
  </si>
  <si>
    <t>喪</t>
    <phoneticPr fontId="1" type="noConversion"/>
  </si>
  <si>
    <t>事</t>
    <phoneticPr fontId="1" type="noConversion"/>
  </si>
  <si>
    <t>報備</t>
    <phoneticPr fontId="1" type="noConversion"/>
  </si>
  <si>
    <t>CO+</t>
    <phoneticPr fontId="1" type="noConversion"/>
  </si>
  <si>
    <r>
      <t>D1</t>
    </r>
    <r>
      <rPr>
        <vertAlign val="superscript"/>
        <sz val="16"/>
        <color theme="1"/>
        <rFont val="新細明體"/>
        <family val="1"/>
        <charset val="136"/>
      </rPr>
      <t>☆</t>
    </r>
    <phoneticPr fontId="1" type="noConversion"/>
  </si>
  <si>
    <t>長假</t>
    <phoneticPr fontId="1" type="noConversion"/>
  </si>
  <si>
    <t>門3</t>
    <phoneticPr fontId="1" type="noConversion"/>
  </si>
  <si>
    <t>門5</t>
    <phoneticPr fontId="1" type="noConversion"/>
  </si>
  <si>
    <t>門7</t>
    <phoneticPr fontId="1" type="noConversion"/>
  </si>
  <si>
    <t>支援</t>
    <phoneticPr fontId="1" type="noConversion"/>
  </si>
  <si>
    <t>D1</t>
    <phoneticPr fontId="1" type="noConversion"/>
  </si>
  <si>
    <t>P5</t>
    <phoneticPr fontId="1" type="noConversion"/>
  </si>
  <si>
    <t>婦幼+清明</t>
    <phoneticPr fontId="1" type="noConversion"/>
  </si>
  <si>
    <t>星期二</t>
    <phoneticPr fontId="1" type="noConversion"/>
  </si>
  <si>
    <t>星期三</t>
    <phoneticPr fontId="1" type="noConversion"/>
  </si>
  <si>
    <t>乙玲</t>
    <phoneticPr fontId="1" type="noConversion"/>
  </si>
  <si>
    <t>宛淇</t>
    <phoneticPr fontId="1" type="noConversion"/>
  </si>
  <si>
    <t>/</t>
  </si>
  <si>
    <t>CO</t>
  </si>
  <si>
    <t>D1</t>
  </si>
  <si>
    <t>A3</t>
  </si>
  <si>
    <t>I3</t>
  </si>
  <si>
    <t>CO☆</t>
  </si>
  <si>
    <t>V</t>
  </si>
  <si>
    <t>D1☆</t>
  </si>
  <si>
    <t>婷瑩</t>
  </si>
  <si>
    <t>芷芸</t>
  </si>
  <si>
    <t>冠汝</t>
  </si>
  <si>
    <t>文雄</t>
  </si>
  <si>
    <t>芬萍</t>
  </si>
  <si>
    <t>勇得</t>
  </si>
  <si>
    <t>惠琳</t>
  </si>
  <si>
    <t>鈺珊</t>
  </si>
  <si>
    <t>乙玲</t>
  </si>
  <si>
    <t>俊穎</t>
  </si>
  <si>
    <t>詣勛</t>
  </si>
  <si>
    <t>丁丁</t>
  </si>
  <si>
    <t>婉霏</t>
  </si>
  <si>
    <t>琦崴</t>
  </si>
  <si>
    <t>欣怡</t>
  </si>
  <si>
    <t>Y7</t>
  </si>
  <si>
    <t>N</t>
  </si>
  <si>
    <t>D6</t>
  </si>
  <si>
    <t>D△</t>
  </si>
  <si>
    <t>P5</t>
  </si>
  <si>
    <t>E▲</t>
  </si>
  <si>
    <t>D1台</t>
  </si>
  <si>
    <t>E△</t>
  </si>
  <si>
    <t>D▲</t>
  </si>
  <si>
    <t>M台</t>
  </si>
  <si>
    <t>門3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</si>
</sst>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[DBNum1][$-404]General"/>
    <numFmt numFmtId="178" formatCode="0_);\(0\)"/>
  </numFmts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新細明體"/>
      <family val="2"/>
      <charset val="136"/>
      <scheme val="minor"/>
    </font>
    <font>
      <sz val="12"/>
      <color rgb="FF333333"/>
      <name val="Arial"/>
      <family val="2"/>
    </font>
    <font>
      <u/>
      <sz val="12"/>
      <color theme="10"/>
      <name val="新細明體"/>
      <family val="2"/>
      <charset val="136"/>
      <scheme val="minor"/>
    </font>
    <font>
      <sz val="2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26"/>
      <color theme="1"/>
      <name val="新細明體"/>
      <family val="1"/>
      <charset val="136"/>
      <scheme val="minor"/>
    </font>
    <font>
      <sz val="20"/>
      <color theme="1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8"/>
      <color theme="1"/>
      <name val="新細明體"/>
      <family val="2"/>
      <charset val="136"/>
      <scheme val="minor"/>
    </font>
    <font>
      <sz val="20"/>
      <color rgb="FF00B050"/>
      <name val="新細明體"/>
      <family val="2"/>
      <charset val="136"/>
      <scheme val="minor"/>
    </font>
    <font>
      <b/>
      <sz val="18"/>
      <color rgb="FFFF0000"/>
      <name val="新細明體"/>
      <family val="1"/>
      <charset val="136"/>
      <scheme val="minor"/>
    </font>
    <font>
      <sz val="20"/>
      <color theme="1"/>
      <name val="新細明體"/>
      <family val="2"/>
      <charset val="136"/>
      <scheme val="minor"/>
    </font>
    <font>
      <b/>
      <sz val="20"/>
      <color rgb="FFFF0000"/>
      <name val="新細明體"/>
      <family val="1"/>
      <charset val="136"/>
      <scheme val="minor"/>
    </font>
    <font>
      <b/>
      <sz val="24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</font>
    <font>
      <sz val="14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333333"/>
      <name val="微軟正黑體"/>
      <family val="2"/>
      <charset val="136"/>
    </font>
    <font>
      <sz val="12"/>
      <color theme="1"/>
      <name val="Microsoft JhengHei"/>
      <family val="2"/>
      <charset val="136"/>
    </font>
    <font>
      <vertAlign val="superscript"/>
      <sz val="16"/>
      <color theme="1"/>
      <name val="新細明體"/>
      <family val="1"/>
      <charset val="136"/>
    </font>
    <font>
      <vertAlign val="superscript"/>
      <sz val="18"/>
      <color theme="1"/>
      <name val="新細明體"/>
      <family val="1"/>
      <charset val="136"/>
    </font>
    <font>
      <vertAlign val="superscript"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2"/>
      <charset val="136"/>
    </font>
    <font>
      <sz val="16"/>
      <color theme="1"/>
      <name val="新細明體"/>
      <family val="1"/>
      <charset val="136"/>
    </font>
    <font>
      <b/>
      <sz val="26"/>
      <color theme="1"/>
      <name val="新細明體"/>
      <family val="1"/>
      <charset val="136"/>
      <scheme val="minor"/>
    </font>
    <font>
      <b/>
      <sz val="28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textRotation="255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76" fontId="9" fillId="0" borderId="6" xfId="0" applyNumberFormat="1" applyFont="1" applyBorder="1" applyAlignment="1">
      <alignment horizontal="center" vertical="center"/>
    </xf>
    <xf numFmtId="177" fontId="9" fillId="0" borderId="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textRotation="255"/>
    </xf>
    <xf numFmtId="0" fontId="12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78" fontId="2" fillId="0" borderId="9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78" fontId="2" fillId="0" borderId="11" xfId="0" applyNumberFormat="1" applyFont="1" applyBorder="1" applyAlignment="1">
      <alignment horizontal="center" vertical="center"/>
    </xf>
    <xf numFmtId="178" fontId="2" fillId="0" borderId="12" xfId="0" applyNumberFormat="1" applyFont="1" applyBorder="1" applyAlignment="1">
      <alignment horizontal="center" vertical="center"/>
    </xf>
    <xf numFmtId="0" fontId="0" fillId="0" borderId="0" xfId="0" applyAlignment="1">
      <alignment vertical="top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76" fontId="9" fillId="0" borderId="22" xfId="0" applyNumberFormat="1" applyFont="1" applyBorder="1" applyAlignment="1">
      <alignment horizontal="center" vertical="center"/>
    </xf>
    <xf numFmtId="177" fontId="9" fillId="0" borderId="23" xfId="0" applyNumberFormat="1" applyFont="1" applyBorder="1" applyAlignment="1">
      <alignment horizontal="center" vertical="center"/>
    </xf>
    <xf numFmtId="176" fontId="9" fillId="0" borderId="24" xfId="0" applyNumberFormat="1" applyFont="1" applyBorder="1" applyAlignment="1">
      <alignment horizontal="center" vertical="center"/>
    </xf>
    <xf numFmtId="177" fontId="9" fillId="0" borderId="25" xfId="0" applyNumberFormat="1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4" fillId="3" borderId="1" xfId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4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17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8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3611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FF6D6D"/>
        </patternFill>
      </fill>
    </dxf>
    <dxf>
      <font>
        <b/>
        <i val="0"/>
        <color theme="0"/>
      </font>
      <fill>
        <patternFill>
          <bgColor rgb="FFFF6161"/>
        </patternFill>
      </fill>
    </dxf>
    <dxf>
      <font>
        <b/>
        <i val="0"/>
        <color theme="0"/>
      </font>
      <fill>
        <patternFill>
          <bgColor rgb="FFFF616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新細明體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新細明體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FF6161"/>
      <color rgb="FFFF6D6D"/>
      <color rgb="FF66FF99"/>
      <color rgb="FFFF696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D$5" max="2030" min="2021" page="10" val="2025"/>
</file>

<file path=xl/ctrlProps/ctrlProp2.xml><?xml version="1.0" encoding="utf-8"?>
<formControlPr xmlns="http://schemas.microsoft.com/office/spreadsheetml/2009/9/main" objectType="Spin" dx="16" fmlaLink="$H$5" max="12" min="1" page="1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10886</xdr:colOff>
          <xdr:row>4</xdr:row>
          <xdr:rowOff>48986</xdr:rowOff>
        </xdr:from>
        <xdr:to>
          <xdr:col>5</xdr:col>
          <xdr:colOff>0</xdr:colOff>
          <xdr:row>5</xdr:row>
          <xdr:rowOff>27214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48986</xdr:rowOff>
        </xdr:from>
        <xdr:to>
          <xdr:col>9</xdr:col>
          <xdr:colOff>0</xdr:colOff>
          <xdr:row>4</xdr:row>
          <xdr:rowOff>332014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255814</xdr:colOff>
          <xdr:row>3</xdr:row>
          <xdr:rowOff>27214</xdr:rowOff>
        </xdr:from>
        <xdr:to>
          <xdr:col>40</xdr:col>
          <xdr:colOff>370114</xdr:colOff>
          <xdr:row>3</xdr:row>
          <xdr:rowOff>408214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清除內容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4</xdr:row>
          <xdr:rowOff>0</xdr:rowOff>
        </xdr:from>
        <xdr:to>
          <xdr:col>11</xdr:col>
          <xdr:colOff>408214</xdr:colOff>
          <xdr:row>4</xdr:row>
          <xdr:rowOff>408214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清除姓名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349896</xdr:colOff>
      <xdr:row>0</xdr:row>
      <xdr:rowOff>155512</xdr:rowOff>
    </xdr:from>
    <xdr:to>
      <xdr:col>32</xdr:col>
      <xdr:colOff>333079</xdr:colOff>
      <xdr:row>3</xdr:row>
      <xdr:rowOff>242055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57EE91C1-9DB0-854A-ED22-00C6989E6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81182" y="155512"/>
          <a:ext cx="4041998" cy="1633870"/>
        </a:xfrm>
        <a:prstGeom prst="rect">
          <a:avLst/>
        </a:prstGeom>
      </xdr:spPr>
    </xdr:pic>
    <xdr:clientData/>
  </xdr:twoCellAnchor>
  <xdr:twoCellAnchor>
    <xdr:from>
      <xdr:col>0</xdr:col>
      <xdr:colOff>443204</xdr:colOff>
      <xdr:row>0</xdr:row>
      <xdr:rowOff>147734</xdr:rowOff>
    </xdr:from>
    <xdr:to>
      <xdr:col>9</xdr:col>
      <xdr:colOff>404327</xdr:colOff>
      <xdr:row>4</xdr:row>
      <xdr:rowOff>0</xdr:rowOff>
    </xdr:to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01C7B5FE-4E5A-4763-9E39-4A0907439176}"/>
            </a:ext>
          </a:extLst>
        </xdr:cNvPr>
        <xdr:cNvSpPr txBox="1"/>
      </xdr:nvSpPr>
      <xdr:spPr>
        <a:xfrm>
          <a:off x="443204" y="147734"/>
          <a:ext cx="4478694" cy="20294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週一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~</a:t>
          </a:r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週五櫃台人員自繳機走動式服務時間：</a:t>
          </a:r>
        </a:p>
        <a:p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A</a:t>
          </a:r>
          <a:r>
            <a:rPr lang="en-US" altLang="zh-TW" sz="16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3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10:00-10:30</a:t>
          </a:r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P</a:t>
          </a:r>
          <a:r>
            <a:rPr lang="en-US" altLang="zh-TW" sz="16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5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(H</a:t>
          </a:r>
          <a:r>
            <a:rPr lang="en-US" altLang="zh-TW" sz="16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5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)10:30-11:00</a:t>
          </a:r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、                 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M</a:t>
          </a:r>
          <a:r>
            <a:rPr lang="zh-TW" altLang="en-US" sz="16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台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11:00-11:30</a:t>
          </a:r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T</a:t>
          </a:r>
          <a:r>
            <a:rPr lang="zh-TW" altLang="en-US" sz="16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台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11:30-12:00</a:t>
          </a:r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、          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D</a:t>
          </a:r>
          <a:r>
            <a:rPr lang="en-US" altLang="zh-TW" sz="16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6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12:00-12:30</a:t>
          </a:r>
          <a:r>
            <a:rPr lang="zh-TW" altLang="en-US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D</a:t>
          </a:r>
          <a:r>
            <a:rPr lang="en-US" altLang="zh-TW" sz="16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7</a:t>
          </a:r>
          <a:r>
            <a:rPr lang="en-US" altLang="zh-TW" sz="1600" b="1">
              <a:latin typeface="微軟正黑體" panose="020B0604030504040204" pitchFamily="34" charset="-120"/>
              <a:ea typeface="微軟正黑體" panose="020B0604030504040204" pitchFamily="34" charset="-120"/>
            </a:rPr>
            <a:t>15:00-15:30</a:t>
          </a:r>
        </a:p>
        <a:p>
          <a:endParaRPr lang="en-US" altLang="zh-TW" sz="2000"/>
        </a:p>
      </xdr:txBody>
    </xdr:sp>
    <xdr:clientData/>
  </xdr:twoCellAnchor>
  <xdr:oneCellAnchor>
    <xdr:from>
      <xdr:col>33</xdr:col>
      <xdr:colOff>388776</xdr:colOff>
      <xdr:row>0</xdr:row>
      <xdr:rowOff>233266</xdr:rowOff>
    </xdr:from>
    <xdr:ext cx="2468817" cy="1422954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5927A7EB-3B4E-4349-A4F1-D5FDB1E557A5}"/>
            </a:ext>
          </a:extLst>
        </xdr:cNvPr>
        <xdr:cNvSpPr txBox="1"/>
      </xdr:nvSpPr>
      <xdr:spPr>
        <a:xfrm>
          <a:off x="15729857" y="233266"/>
          <a:ext cx="2468817" cy="14229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W</a:t>
          </a:r>
          <a:r>
            <a:rPr lang="en-US" altLang="zh-TW" sz="15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7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:</a:t>
          </a:r>
          <a:r>
            <a:rPr lang="zh-TW" altLang="en-US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 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15:30-22:00(6</a:t>
          </a:r>
          <a:r>
            <a:rPr lang="zh-TW" altLang="en-US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小時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</a:p>
        <a:p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 S</a:t>
          </a:r>
          <a:r>
            <a:rPr lang="en-US" altLang="zh-TW" sz="15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2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:  12:00-21:00(8.5</a:t>
          </a:r>
          <a:r>
            <a:rPr lang="zh-TW" altLang="en-US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小時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</a:p>
        <a:p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 Y</a:t>
          </a:r>
          <a:r>
            <a:rPr lang="en-US" altLang="zh-TW" sz="15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7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:  08:00-14:00(5.5</a:t>
          </a:r>
          <a:r>
            <a:rPr lang="zh-TW" altLang="en-US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小時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</a:p>
        <a:p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 P</a:t>
          </a:r>
          <a:r>
            <a:rPr lang="en-US" altLang="zh-TW" sz="1500" b="1" baseline="30000">
              <a:latin typeface="微軟正黑體" panose="020B0604030504040204" pitchFamily="34" charset="-120"/>
              <a:ea typeface="微軟正黑體" panose="020B0604030504040204" pitchFamily="34" charset="-120"/>
            </a:rPr>
            <a:t>5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:</a:t>
          </a:r>
          <a:r>
            <a:rPr lang="zh-TW" altLang="en-US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  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08:30-17:00(8</a:t>
          </a:r>
          <a:r>
            <a:rPr lang="zh-TW" altLang="en-US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小時</a:t>
          </a:r>
          <a:r>
            <a:rPr lang="en-US" altLang="zh-TW" sz="15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5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格1" displayName="表格1" ref="B1:B38" totalsRowShown="0" headerRowDxfId="3610" dataDxfId="3609">
  <autoFilter ref="B1:B38" xr:uid="{00000000-0009-0000-0100-000001000000}"/>
  <tableColumns count="1">
    <tableColumn id="1" xr3:uid="{00000000-0010-0000-0000-000001000000}" name="班別" dataDxfId="36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格2" displayName="表格2" ref="A1:A23" totalsRowShown="0" headerRowDxfId="3607" dataDxfId="3606">
  <autoFilter ref="A1:A23" xr:uid="{00000000-0009-0000-0100-000002000000}"/>
  <tableColumns count="1">
    <tableColumn id="1" xr3:uid="{00000000-0010-0000-0100-000001000000}" name="欄1" dataDxfId="36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publicholidays.tw/zh/qingming-festival/" TargetMode="External"/><Relationship Id="rId13" Type="http://schemas.openxmlformats.org/officeDocument/2006/relationships/hyperlink" Target="https://publicholidays.tw/zh/mid-autumn-festival/" TargetMode="External"/><Relationship Id="rId18" Type="http://schemas.openxmlformats.org/officeDocument/2006/relationships/table" Target="../tables/table1.xml"/><Relationship Id="rId3" Type="http://schemas.openxmlformats.org/officeDocument/2006/relationships/hyperlink" Target="https://publicholidays.tw/zh/chinese-new-year/" TargetMode="External"/><Relationship Id="rId7" Type="http://schemas.openxmlformats.org/officeDocument/2006/relationships/hyperlink" Target="https://publicholidays.tw/zh/childrens-day/" TargetMode="External"/><Relationship Id="rId12" Type="http://schemas.openxmlformats.org/officeDocument/2006/relationships/hyperlink" Target="https://publicholidays.tw/zh/mid-autumn-festival/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https://publicholidays.tw/zh/republic-day/" TargetMode="External"/><Relationship Id="rId16" Type="http://schemas.openxmlformats.org/officeDocument/2006/relationships/hyperlink" Target="https://publicholidays.tw/zh/republic-day/" TargetMode="External"/><Relationship Id="rId1" Type="http://schemas.openxmlformats.org/officeDocument/2006/relationships/hyperlink" Target="https://publicholidays.tw/zh/new-years-day/" TargetMode="External"/><Relationship Id="rId6" Type="http://schemas.openxmlformats.org/officeDocument/2006/relationships/hyperlink" Target="https://publicholidays.tw/zh/childrens-day/" TargetMode="External"/><Relationship Id="rId11" Type="http://schemas.openxmlformats.org/officeDocument/2006/relationships/hyperlink" Target="https://publicholidays.tw/zh/dragon-boat-festival/" TargetMode="External"/><Relationship Id="rId5" Type="http://schemas.openxmlformats.org/officeDocument/2006/relationships/hyperlink" Target="https://publicholidays.tw/zh/228-peace-memorial-day/" TargetMode="External"/><Relationship Id="rId15" Type="http://schemas.openxmlformats.org/officeDocument/2006/relationships/hyperlink" Target="https://publicholidays.tw/zh/national-day/" TargetMode="External"/><Relationship Id="rId10" Type="http://schemas.openxmlformats.org/officeDocument/2006/relationships/hyperlink" Target="https://publicholidays.tw/zh/labour-day/" TargetMode="External"/><Relationship Id="rId19" Type="http://schemas.openxmlformats.org/officeDocument/2006/relationships/table" Target="../tables/table2.xml"/><Relationship Id="rId4" Type="http://schemas.openxmlformats.org/officeDocument/2006/relationships/hyperlink" Target="https://publicholidays.tw/zh/228-peace-memorial-day/" TargetMode="External"/><Relationship Id="rId9" Type="http://schemas.openxmlformats.org/officeDocument/2006/relationships/hyperlink" Target="https://publicholidays.tw/zh/qingming-festival/" TargetMode="External"/><Relationship Id="rId14" Type="http://schemas.openxmlformats.org/officeDocument/2006/relationships/hyperlink" Target="https://publicholidays.tw/zh/national-da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S35"/>
  <sheetViews>
    <sheetView tabSelected="1" zoomScale="55" zoomScaleNormal="55" workbookViewId="0">
      <selection activeCell="AQ25" sqref="AQ25"/>
    </sheetView>
  </sheetViews>
  <sheetFormatPr defaultColWidth="8.84375" defaultRowHeight="16.75"/>
  <cols>
    <col min="1" max="1" width="6.4609375" customWidth="1"/>
    <col min="2" max="2" width="7" customWidth="1"/>
    <col min="3" max="3" width="9.4609375" customWidth="1"/>
    <col min="4" max="4" width="9" customWidth="1"/>
    <col min="5" max="35" width="6.3828125" customWidth="1"/>
    <col min="36" max="36" width="7.15234375" customWidth="1"/>
    <col min="37" max="41" width="5.84375" customWidth="1"/>
  </cols>
  <sheetData>
    <row r="1" spans="1:45" ht="34.299999999999997" customHeight="1"/>
    <row r="2" spans="1:45" ht="37.5" customHeight="1">
      <c r="A2" s="102" t="s">
        <v>65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</row>
    <row r="3" spans="1:45" ht="50.25" customHeight="1">
      <c r="A3" s="85"/>
      <c r="B3" s="85"/>
      <c r="C3" s="85"/>
      <c r="D3" s="85"/>
      <c r="E3" s="13"/>
      <c r="F3" s="13"/>
      <c r="G3" s="13"/>
      <c r="H3" s="13"/>
      <c r="I3" s="13"/>
      <c r="J3" s="13"/>
      <c r="K3" s="31"/>
      <c r="L3" s="39" t="s">
        <v>66</v>
      </c>
      <c r="M3" s="48"/>
      <c r="N3" s="48"/>
      <c r="O3" s="48"/>
      <c r="P3" s="48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45" ht="34.5" customHeight="1">
      <c r="A4" s="47"/>
      <c r="B4" s="47"/>
      <c r="C4" s="47"/>
      <c r="D4" s="47"/>
      <c r="E4" s="13"/>
      <c r="F4" s="13"/>
      <c r="G4" s="13"/>
      <c r="H4" s="13"/>
      <c r="I4" s="13"/>
      <c r="J4" s="13"/>
      <c r="K4" s="31"/>
      <c r="L4" s="39"/>
      <c r="M4" s="101"/>
      <c r="N4" s="101"/>
      <c r="O4" s="101"/>
      <c r="P4" s="48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45" ht="35.5" customHeight="1" thickBot="1">
      <c r="A5" s="86"/>
      <c r="B5" s="86"/>
      <c r="C5" s="37" t="s">
        <v>22</v>
      </c>
      <c r="D5" s="36">
        <v>2025</v>
      </c>
      <c r="E5" s="35"/>
      <c r="F5" s="82" t="s">
        <v>23</v>
      </c>
      <c r="G5" s="82"/>
      <c r="H5" s="38">
        <v>1</v>
      </c>
      <c r="I5" s="39"/>
      <c r="J5" s="87"/>
      <c r="K5" s="87"/>
      <c r="O5" s="54"/>
      <c r="T5" s="55"/>
      <c r="V5" s="55"/>
    </row>
    <row r="6" spans="1:45" ht="30.25" customHeight="1">
      <c r="A6" s="93" t="s">
        <v>0</v>
      </c>
      <c r="B6" s="95" t="s">
        <v>1</v>
      </c>
      <c r="C6" s="97" t="s">
        <v>2</v>
      </c>
      <c r="D6" s="58" t="s">
        <v>3</v>
      </c>
      <c r="E6" s="21">
        <f>DATE(D5,H5,1)</f>
        <v>45658</v>
      </c>
      <c r="F6" s="21">
        <f>IFERROR(IF(MONTH(E6+1)=$H$5,E6+1,""),"")</f>
        <v>45659</v>
      </c>
      <c r="G6" s="21">
        <f t="shared" ref="G6:AI6" si="0">IFERROR(IF(MONTH(F6+1)=$H$5,F6+1,""),"")</f>
        <v>45660</v>
      </c>
      <c r="H6" s="21">
        <f t="shared" si="0"/>
        <v>45661</v>
      </c>
      <c r="I6" s="21">
        <f t="shared" si="0"/>
        <v>45662</v>
      </c>
      <c r="J6" s="21">
        <f t="shared" si="0"/>
        <v>45663</v>
      </c>
      <c r="K6" s="21">
        <f t="shared" si="0"/>
        <v>45664</v>
      </c>
      <c r="L6" s="49">
        <f t="shared" si="0"/>
        <v>45665</v>
      </c>
      <c r="M6" s="21">
        <f t="shared" si="0"/>
        <v>45666</v>
      </c>
      <c r="N6" s="21">
        <f t="shared" si="0"/>
        <v>45667</v>
      </c>
      <c r="O6" s="21">
        <f t="shared" si="0"/>
        <v>45668</v>
      </c>
      <c r="P6" s="51">
        <f t="shared" si="0"/>
        <v>45669</v>
      </c>
      <c r="Q6" s="21">
        <f t="shared" si="0"/>
        <v>45670</v>
      </c>
      <c r="R6" s="21">
        <f t="shared" si="0"/>
        <v>45671</v>
      </c>
      <c r="S6" s="21">
        <f t="shared" si="0"/>
        <v>45672</v>
      </c>
      <c r="T6" s="21">
        <f t="shared" si="0"/>
        <v>45673</v>
      </c>
      <c r="U6" s="21">
        <f t="shared" si="0"/>
        <v>45674</v>
      </c>
      <c r="V6" s="21">
        <f t="shared" si="0"/>
        <v>45675</v>
      </c>
      <c r="W6" s="21">
        <f t="shared" si="0"/>
        <v>45676</v>
      </c>
      <c r="X6" s="21">
        <f t="shared" si="0"/>
        <v>45677</v>
      </c>
      <c r="Y6" s="21">
        <f t="shared" si="0"/>
        <v>45678</v>
      </c>
      <c r="Z6" s="21">
        <f t="shared" si="0"/>
        <v>45679</v>
      </c>
      <c r="AA6" s="21">
        <f t="shared" si="0"/>
        <v>45680</v>
      </c>
      <c r="AB6" s="21">
        <f t="shared" si="0"/>
        <v>45681</v>
      </c>
      <c r="AC6" s="21">
        <f t="shared" si="0"/>
        <v>45682</v>
      </c>
      <c r="AD6" s="21">
        <f t="shared" si="0"/>
        <v>45683</v>
      </c>
      <c r="AE6" s="21">
        <f t="shared" si="0"/>
        <v>45684</v>
      </c>
      <c r="AF6" s="21">
        <f t="shared" si="0"/>
        <v>45685</v>
      </c>
      <c r="AG6" s="21">
        <f t="shared" si="0"/>
        <v>45686</v>
      </c>
      <c r="AH6" s="21">
        <f t="shared" si="0"/>
        <v>45687</v>
      </c>
      <c r="AI6" s="21">
        <f t="shared" si="0"/>
        <v>45688</v>
      </c>
      <c r="AJ6" s="99" t="s">
        <v>24</v>
      </c>
      <c r="AK6" s="99" t="s">
        <v>25</v>
      </c>
      <c r="AL6" s="99" t="s">
        <v>26</v>
      </c>
      <c r="AM6" s="91" t="s">
        <v>27</v>
      </c>
      <c r="AN6" s="83" t="s">
        <v>74</v>
      </c>
      <c r="AO6" s="84" t="s">
        <v>73</v>
      </c>
    </row>
    <row r="7" spans="1:45" ht="30.25" customHeight="1" thickBot="1">
      <c r="A7" s="94"/>
      <c r="B7" s="96"/>
      <c r="C7" s="98"/>
      <c r="D7" s="59" t="s">
        <v>69</v>
      </c>
      <c r="E7" s="22">
        <f>IFERROR(IF(WEEKDAY(E6,2)=7,"日",WEEKDAY(E6,2)),"")</f>
        <v>3</v>
      </c>
      <c r="F7" s="22">
        <f t="shared" ref="F7:AI7" si="1">IFERROR(IF(WEEKDAY(F6,2)=7,"日",WEEKDAY(F6,2)),"")</f>
        <v>4</v>
      </c>
      <c r="G7" s="22">
        <f t="shared" si="1"/>
        <v>5</v>
      </c>
      <c r="H7" s="22">
        <f t="shared" si="1"/>
        <v>6</v>
      </c>
      <c r="I7" s="22" t="str">
        <f t="shared" si="1"/>
        <v>日</v>
      </c>
      <c r="J7" s="22">
        <f t="shared" si="1"/>
        <v>1</v>
      </c>
      <c r="K7" s="22">
        <f t="shared" si="1"/>
        <v>2</v>
      </c>
      <c r="L7" s="50">
        <f t="shared" si="1"/>
        <v>3</v>
      </c>
      <c r="M7" s="22">
        <f t="shared" si="1"/>
        <v>4</v>
      </c>
      <c r="N7" s="22">
        <f t="shared" si="1"/>
        <v>5</v>
      </c>
      <c r="O7" s="22">
        <f t="shared" si="1"/>
        <v>6</v>
      </c>
      <c r="P7" s="52" t="str">
        <f t="shared" si="1"/>
        <v>日</v>
      </c>
      <c r="Q7" s="22">
        <f t="shared" si="1"/>
        <v>1</v>
      </c>
      <c r="R7" s="22">
        <f t="shared" si="1"/>
        <v>2</v>
      </c>
      <c r="S7" s="22">
        <f t="shared" si="1"/>
        <v>3</v>
      </c>
      <c r="T7" s="22">
        <f>IFERROR(IF(WEEKDAY(T6,2)=7,"日",WEEKDAY(T6,2)),"")</f>
        <v>4</v>
      </c>
      <c r="U7" s="22">
        <f t="shared" si="1"/>
        <v>5</v>
      </c>
      <c r="V7" s="22">
        <f t="shared" si="1"/>
        <v>6</v>
      </c>
      <c r="W7" s="22" t="str">
        <f t="shared" si="1"/>
        <v>日</v>
      </c>
      <c r="X7" s="22">
        <f t="shared" si="1"/>
        <v>1</v>
      </c>
      <c r="Y7" s="22">
        <f t="shared" si="1"/>
        <v>2</v>
      </c>
      <c r="Z7" s="22">
        <f t="shared" si="1"/>
        <v>3</v>
      </c>
      <c r="AA7" s="22">
        <f t="shared" si="1"/>
        <v>4</v>
      </c>
      <c r="AB7" s="22">
        <f t="shared" si="1"/>
        <v>5</v>
      </c>
      <c r="AC7" s="22">
        <f t="shared" si="1"/>
        <v>6</v>
      </c>
      <c r="AD7" s="22" t="str">
        <f t="shared" si="1"/>
        <v>日</v>
      </c>
      <c r="AE7" s="22">
        <f t="shared" si="1"/>
        <v>1</v>
      </c>
      <c r="AF7" s="22">
        <f t="shared" si="1"/>
        <v>2</v>
      </c>
      <c r="AG7" s="22">
        <f t="shared" si="1"/>
        <v>3</v>
      </c>
      <c r="AH7" s="22">
        <f t="shared" si="1"/>
        <v>4</v>
      </c>
      <c r="AI7" s="22">
        <f t="shared" si="1"/>
        <v>5</v>
      </c>
      <c r="AJ7" s="84"/>
      <c r="AK7" s="84"/>
      <c r="AL7" s="84"/>
      <c r="AM7" s="92"/>
      <c r="AN7" s="83"/>
      <c r="AO7" s="84"/>
      <c r="AS7" s="25"/>
    </row>
    <row r="8" spans="1:45" ht="39.25" customHeight="1" thickBot="1">
      <c r="A8" s="23"/>
      <c r="B8" s="57"/>
      <c r="C8" s="15" t="s">
        <v>4</v>
      </c>
      <c r="D8" s="7" t="s">
        <v>70</v>
      </c>
      <c r="E8" s="7" t="s">
        <v>142</v>
      </c>
      <c r="F8" s="7" t="s">
        <v>143</v>
      </c>
      <c r="G8" s="7" t="s">
        <v>143</v>
      </c>
      <c r="H8" s="7" t="s">
        <v>142</v>
      </c>
      <c r="I8" s="7" t="s">
        <v>142</v>
      </c>
      <c r="J8" s="7" t="s">
        <v>143</v>
      </c>
      <c r="K8" s="7" t="s">
        <v>143</v>
      </c>
      <c r="L8" s="7" t="s">
        <v>143</v>
      </c>
      <c r="M8" s="7" t="s">
        <v>143</v>
      </c>
      <c r="N8" s="7" t="s">
        <v>143</v>
      </c>
      <c r="O8" s="7" t="s">
        <v>142</v>
      </c>
      <c r="P8" s="7" t="s">
        <v>142</v>
      </c>
      <c r="Q8" s="7" t="s">
        <v>143</v>
      </c>
      <c r="R8" s="7" t="s">
        <v>143</v>
      </c>
      <c r="S8" s="7" t="s">
        <v>143</v>
      </c>
      <c r="T8" s="7" t="s">
        <v>143</v>
      </c>
      <c r="U8" s="7" t="s">
        <v>143</v>
      </c>
      <c r="V8" s="7" t="s">
        <v>142</v>
      </c>
      <c r="W8" s="7" t="s">
        <v>142</v>
      </c>
      <c r="X8" s="7" t="s">
        <v>143</v>
      </c>
      <c r="Y8" s="7" t="s">
        <v>143</v>
      </c>
      <c r="Z8" s="7" t="s">
        <v>143</v>
      </c>
      <c r="AA8" s="7" t="s">
        <v>143</v>
      </c>
      <c r="AB8" s="7" t="s">
        <v>143</v>
      </c>
      <c r="AC8" s="7" t="s">
        <v>142</v>
      </c>
      <c r="AD8" s="7" t="s">
        <v>142</v>
      </c>
      <c r="AE8" s="7" t="s">
        <v>144</v>
      </c>
      <c r="AF8" s="7" t="s">
        <v>142</v>
      </c>
      <c r="AG8" s="7" t="s">
        <v>142</v>
      </c>
      <c r="AH8" s="7" t="s">
        <v>142</v>
      </c>
      <c r="AI8" s="8" t="s">
        <v>144</v>
      </c>
      <c r="AJ8" s="19">
        <f>COUNTIF(E8:AI8,"/")+COUNTIF(E8:AI8,"I3")/2+COUNTIF(E8:AI8,"D1防")/2+COUNTIF(E8:AI8,"D1台")/2+COUNTIF(E8:AI8,"W7")/2+COUNTIF(E8:AI8,"H7")/2+COUNTIF(E8:AI8,"Y7")/2</f>
        <v>12</v>
      </c>
      <c r="AK8" s="20">
        <f>COUNTIF(E8:AI8,"E6")+COUNTIF(E8:AI8,"E△")+COUNTIF(E8:AI8,"E▲")</f>
        <v>0</v>
      </c>
      <c r="AL8" s="20">
        <f>COUNTIFS(E8:AI8,"E△",E$7:AI$7,"6")+COUNTIFS(E8:AI8,"E▲",E$7:AI$7,"6")</f>
        <v>0</v>
      </c>
      <c r="AM8" s="40">
        <f>COUNTIFS(E8:AI8,"E△",E$7:AI$7,"日")+COUNTIFS(E8:AI8,"E▲",E$7:AI$7,"日")</f>
        <v>0</v>
      </c>
      <c r="AN8" s="19">
        <f>COUNTIFS(E8:AI8,"/",E$7:AI$7,"1")+COUNTIFS(E8:AI8,"V",E$7:AI$7,"1")+COUNTIFS(E8:AI8,"公",E$7:AI$7,"1")+COUNTIFS(E8:AI8,"喪",E$7:AI$7,"1")+COUNTIFS(E8:AI8,"病",E$7:AI$7,"1")+COUNTIFS(E8:AI8,"事",E$7:AI$7,"1")+COUNTIFS(E8:AI8,"報備",E$7:AI$7,"1")</f>
        <v>0</v>
      </c>
      <c r="AO8" s="24">
        <f>COUNTIFS(E8:AI8,"/",E$7:AI$7,"2")+COUNTIFS(E8:AI8,"V",E$7:AI$7,"2")+COUNTIFS(E8:AI8,"公",E$7:AI$7,"2")+COUNTIFS(E8:AI8,"喪",E$7:AI$7,"2")+COUNTIFS(E8:AI8,"病",E$7:AI$7,"2")+COUNTIFS(E8:AI8,"事",E$7:AI$7,"2")+COUNTIFS(E8:AI8,"報備",E$7:AI$7,"2")</f>
        <v>1</v>
      </c>
      <c r="AQ8" s="25"/>
      <c r="AS8" s="25"/>
    </row>
    <row r="9" spans="1:45" ht="39.25" customHeight="1" thickBot="1">
      <c r="A9" s="23"/>
      <c r="B9" s="57"/>
      <c r="C9" s="16" t="s">
        <v>5</v>
      </c>
      <c r="D9" s="9" t="s">
        <v>71</v>
      </c>
      <c r="E9" s="7" t="s">
        <v>142</v>
      </c>
      <c r="F9" s="7" t="s">
        <v>143</v>
      </c>
      <c r="G9" s="7" t="s">
        <v>143</v>
      </c>
      <c r="H9" s="7" t="s">
        <v>142</v>
      </c>
      <c r="I9" s="7" t="s">
        <v>142</v>
      </c>
      <c r="J9" s="7" t="s">
        <v>143</v>
      </c>
      <c r="K9" s="7" t="s">
        <v>143</v>
      </c>
      <c r="L9" s="7" t="s">
        <v>143</v>
      </c>
      <c r="M9" s="7" t="s">
        <v>143</v>
      </c>
      <c r="N9" s="7" t="s">
        <v>143</v>
      </c>
      <c r="O9" s="7" t="s">
        <v>146</v>
      </c>
      <c r="P9" s="7" t="s">
        <v>142</v>
      </c>
      <c r="Q9" s="7" t="s">
        <v>143</v>
      </c>
      <c r="R9" s="7" t="s">
        <v>143</v>
      </c>
      <c r="S9" s="7" t="s">
        <v>143</v>
      </c>
      <c r="T9" s="7" t="s">
        <v>143</v>
      </c>
      <c r="U9" s="7" t="s">
        <v>143</v>
      </c>
      <c r="V9" s="7" t="s">
        <v>142</v>
      </c>
      <c r="W9" s="7" t="s">
        <v>142</v>
      </c>
      <c r="X9" s="7" t="s">
        <v>143</v>
      </c>
      <c r="Y9" s="7" t="s">
        <v>143</v>
      </c>
      <c r="Z9" s="7" t="s">
        <v>143</v>
      </c>
      <c r="AA9" s="7" t="s">
        <v>143</v>
      </c>
      <c r="AB9" s="7" t="s">
        <v>143</v>
      </c>
      <c r="AC9" s="7" t="s">
        <v>142</v>
      </c>
      <c r="AD9" s="7" t="s">
        <v>142</v>
      </c>
      <c r="AE9" s="9" t="s">
        <v>143</v>
      </c>
      <c r="AF9" s="7" t="s">
        <v>142</v>
      </c>
      <c r="AG9" s="7" t="s">
        <v>142</v>
      </c>
      <c r="AH9" s="7" t="s">
        <v>142</v>
      </c>
      <c r="AI9" s="7" t="s">
        <v>142</v>
      </c>
      <c r="AJ9" s="19">
        <f t="shared" ref="AJ9:AJ10" si="2">COUNTIF(E9:AI9,"/")+COUNTIF(E9:AI9,"I3")/2+COUNTIF(E9:AI9,"D1防")/2+COUNTIF(E9:AI9,"D1台")/2+COUNTIF(E9:AI9,"W7")/2+COUNTIF(E9:AI9,"H7")/2+COUNTIF(E9:AI9,"Y7")/2</f>
        <v>12.5</v>
      </c>
      <c r="AK9" s="20">
        <f t="shared" ref="AK9:AK25" si="3">COUNTIF(E9:AI9,"E6")+COUNTIF(E9:AI9,"E△")+COUNTIF(E9:AI9,"E▲")</f>
        <v>0</v>
      </c>
      <c r="AL9" s="20">
        <f>COUNTIFS(E9:AI9,"E△",E$7:AI$7,"6")+COUNTIFS(E9:AI9,"E▲",E$7:AI$7,"6")</f>
        <v>0</v>
      </c>
      <c r="AM9" s="40">
        <f>COUNTIFS(E9:AI9,"E△",E$7:AI$7,"日")+COUNTIFS(E9:AI9,"E▲",E$7:AI$7,"日")</f>
        <v>0</v>
      </c>
      <c r="AN9" s="19">
        <f>COUNTIFS(E9:AI9,"/",E$7:AI$7,"1")+COUNTIFS(E9:AI9,"V",E$7:AI$7,"1")+COUNTIFS(E9:AI9,"公",E$7:AI$7,"1")+COUNTIFS(E9:AI9,"喪",E$7:AI$7,"1")+COUNTIFS(E9:AI9,"病",E$7:AI$7,"1")+COUNTIFS(E9:AI9,"事",E$7:AI$7,"1")+COUNTIFS(E9:AI9,"報備",E$7:AI$7,"1")</f>
        <v>0</v>
      </c>
      <c r="AO9" s="24">
        <f>COUNTIFS(E9:AI9,"/",E$7:AI$7,"2")+COUNTIFS(E9:AI9,"V",E$7:AI$7,"2")+COUNTIFS(E9:AI9,"公",E$7:AI$7,"2")+COUNTIFS(E9:AI9,"喪",E$7:AI$7,"2")+COUNTIFS(E9:AI9,"病",E$7:AI$7,"2")+COUNTIFS(E9:AI9,"事",E$7:AI$7,"2")+COUNTIFS(E9:AI9,"報備",E$7:AI$7,"2")</f>
        <v>1</v>
      </c>
      <c r="AQ9" s="25"/>
      <c r="AS9" s="25"/>
    </row>
    <row r="10" spans="1:45" ht="39.25" customHeight="1" thickBot="1">
      <c r="A10" s="23"/>
      <c r="B10" s="57"/>
      <c r="C10" s="29" t="s">
        <v>6</v>
      </c>
      <c r="D10" s="30" t="s">
        <v>72</v>
      </c>
      <c r="E10" s="7" t="s">
        <v>142</v>
      </c>
      <c r="F10" s="30" t="s">
        <v>147</v>
      </c>
      <c r="G10" s="30" t="s">
        <v>147</v>
      </c>
      <c r="H10" s="7" t="s">
        <v>142</v>
      </c>
      <c r="I10" s="7" t="s">
        <v>142</v>
      </c>
      <c r="J10" s="30" t="s">
        <v>147</v>
      </c>
      <c r="K10" s="30" t="s">
        <v>147</v>
      </c>
      <c r="L10" s="66" t="s">
        <v>148</v>
      </c>
      <c r="M10" s="30" t="s">
        <v>142</v>
      </c>
      <c r="N10" s="30" t="s">
        <v>147</v>
      </c>
      <c r="O10" s="7" t="s">
        <v>142</v>
      </c>
      <c r="P10" s="7" t="s">
        <v>142</v>
      </c>
      <c r="Q10" s="30" t="s">
        <v>147</v>
      </c>
      <c r="R10" s="30" t="s">
        <v>147</v>
      </c>
      <c r="S10" s="30" t="s">
        <v>147</v>
      </c>
      <c r="T10" s="30" t="s">
        <v>147</v>
      </c>
      <c r="U10" s="30" t="s">
        <v>147</v>
      </c>
      <c r="V10" s="30" t="s">
        <v>146</v>
      </c>
      <c r="W10" s="7" t="s">
        <v>142</v>
      </c>
      <c r="X10" s="30" t="s">
        <v>147</v>
      </c>
      <c r="Y10" s="30" t="s">
        <v>148</v>
      </c>
      <c r="Z10" s="30" t="s">
        <v>147</v>
      </c>
      <c r="AA10" s="30" t="s">
        <v>147</v>
      </c>
      <c r="AB10" s="30" t="s">
        <v>147</v>
      </c>
      <c r="AC10" s="7" t="s">
        <v>142</v>
      </c>
      <c r="AD10" s="7" t="s">
        <v>142</v>
      </c>
      <c r="AE10" s="30" t="s">
        <v>147</v>
      </c>
      <c r="AF10" s="7" t="s">
        <v>142</v>
      </c>
      <c r="AG10" s="7" t="s">
        <v>142</v>
      </c>
      <c r="AH10" s="7" t="s">
        <v>142</v>
      </c>
      <c r="AI10" s="53" t="s">
        <v>149</v>
      </c>
      <c r="AJ10" s="19">
        <f t="shared" si="2"/>
        <v>12.5</v>
      </c>
      <c r="AK10" s="20">
        <f t="shared" si="3"/>
        <v>0</v>
      </c>
      <c r="AL10" s="20">
        <f>COUNTIFS(E10:AI10,"E△",E$7:AI$7,"6")+COUNTIFS(E10:AI10,"E▲",E$7:AI$7,"6")</f>
        <v>0</v>
      </c>
      <c r="AM10" s="40">
        <f>COUNTIFS(E10:AI10,"E△",E$7:AI$7,"日")+COUNTIFS(E10:AI10,"E▲",E$7:AI$7,"日")</f>
        <v>0</v>
      </c>
      <c r="AN10" s="19">
        <f>COUNTIFS(E10:AI10,"/",E$7:AI$7,"1")+COUNTIFS(E10:AI10,"V",E$7:AI$7,"1")+COUNTIFS(E10:AI10,"公",E$7:AI$7,"1")+COUNTIFS(E10:AI10,"喪",E$7:AI$7,"1")+COUNTIFS(E10:AI10,"病",E$7:AI$7,"1")+COUNTIFS(E10:AI10,"事",E$7:AI$7,"1")+COUNTIFS(E10:AI10,"報備",E$7:AI$7,"1")</f>
        <v>0</v>
      </c>
      <c r="AO10" s="24">
        <f>COUNTIFS(E10:AI10,"/",E$7:AI$7,"2")+COUNTIFS(E10:AI10,"V",E$7:AI$7,"2")+COUNTIFS(E10:AI10,"公",E$7:AI$7,"2")+COUNTIFS(E10:AI10,"喪",E$7:AI$7,"2")+COUNTIFS(E10:AI10,"病",E$7:AI$7,"2")+COUNTIFS(E10:AI10,"事",E$7:AI$7,"2")+COUNTIFS(E10:AI10,"報備",E$7:AI$7,"2")</f>
        <v>2</v>
      </c>
      <c r="AQ10" s="25"/>
      <c r="AS10" s="25"/>
    </row>
    <row r="11" spans="1:45" ht="39.25" customHeight="1" thickBot="1">
      <c r="A11" s="23"/>
      <c r="B11" s="57"/>
      <c r="C11" s="15" t="s">
        <v>7</v>
      </c>
      <c r="D11" s="7" t="s">
        <v>151</v>
      </c>
      <c r="E11" s="7" t="s">
        <v>142</v>
      </c>
      <c r="F11" s="67" t="s">
        <v>145</v>
      </c>
      <c r="G11" s="67" t="s">
        <v>145</v>
      </c>
      <c r="H11" s="67" t="s">
        <v>142</v>
      </c>
      <c r="I11" s="7" t="s">
        <v>142</v>
      </c>
      <c r="J11" s="7" t="s">
        <v>142</v>
      </c>
      <c r="K11" s="7" t="s">
        <v>169</v>
      </c>
      <c r="L11" s="7" t="s">
        <v>167</v>
      </c>
      <c r="M11" s="7"/>
      <c r="N11" s="7"/>
      <c r="O11" s="7" t="s">
        <v>168</v>
      </c>
      <c r="P11" s="7"/>
      <c r="Q11" s="7"/>
      <c r="R11" s="7"/>
      <c r="S11" s="7"/>
      <c r="T11" s="7"/>
      <c r="U11" s="7"/>
      <c r="V11" s="7"/>
      <c r="W11" s="7"/>
      <c r="X11" s="67" t="s">
        <v>142</v>
      </c>
      <c r="Y11" s="67" t="s">
        <v>142</v>
      </c>
      <c r="Z11" s="7"/>
      <c r="AA11" s="7"/>
      <c r="AB11" s="7"/>
      <c r="AC11" s="7" t="s">
        <v>171</v>
      </c>
      <c r="AD11" s="7" t="s">
        <v>168</v>
      </c>
      <c r="AE11" s="7" t="s">
        <v>174</v>
      </c>
      <c r="AF11" s="7" t="s">
        <v>142</v>
      </c>
      <c r="AG11" s="7" t="s">
        <v>142</v>
      </c>
      <c r="AH11" s="7" t="s">
        <v>168</v>
      </c>
      <c r="AI11" s="8" t="s">
        <v>175</v>
      </c>
      <c r="AJ11" s="19">
        <f>COUNTIF(E11:AI11,"/")+COUNTIF(E11:AI11,"I3")/2+COUNTIF(E11:AI11,"D1防")/2+COUNTIF(E11:AI11,"D1台")/2+COUNTIF(E11:AI11,"W7")/2+COUNTIF(E11:AI11,"H7")/2+COUNTIF(E11:AI11,"Y7")/2+COUNTIF(E11:AI11,"H5")/2+COUNTIF(E11:AI11,"門3")/2+COUNTIF(E11:AI11,"門5")/2++COUNTIF(E11:AI11,"門7")/2</f>
        <v>9</v>
      </c>
      <c r="AK11" s="20">
        <f t="shared" si="3"/>
        <v>0</v>
      </c>
      <c r="AL11" s="20">
        <f>COUNTIFS(E11:AI11,"E△",E$7:AI$7,"6")+COUNTIFS(E11:AI11,"E▲",E$7:AI$7,"6")</f>
        <v>0</v>
      </c>
      <c r="AM11" s="40">
        <f>COUNTIFS(E11:AI11,"E△",E$7:AI$7,"日")+COUNTIFS(E11:AI11,"E▲",E$7:AI$7,"日")</f>
        <v>0</v>
      </c>
      <c r="AN11" s="19">
        <f>COUNTIFS(E11:AI11,"/",E$7:AI$7,"1")+COUNTIFS(E11:AI11,"V",E$7:AI$7,"1")+COUNTIFS(E11:AI11,"公",E$7:AI$7,"1")+COUNTIFS(E11:AI11,"喪",E$7:AI$7,"1")+COUNTIFS(E11:AI11,"病",E$7:AI$7,"1")+COUNTIFS(E11:AI11,"事",E$7:AI$7,"1")+COUNTIFS(E11:AI11,"報備",E$7:AI$7,"1")</f>
        <v>2</v>
      </c>
      <c r="AO11" s="24">
        <f>COUNTIFS(E11:AI11,"/",E$7:AI$7,"2")+COUNTIFS(E11:AI11,"V",E$7:AI$7,"2")+COUNTIFS(E11:AI11,"公",E$7:AI$7,"2")+COUNTIFS(E11:AI11,"喪",E$7:AI$7,"2")+COUNTIFS(E11:AI11,"病",E$7:AI$7,"2")+COUNTIFS(E11:AI11,"事",E$7:AI$7,"2")+COUNTIFS(E11:AI11,"報備",E$7:AI$7,"2")</f>
        <v>2</v>
      </c>
      <c r="AQ11" s="25"/>
      <c r="AS11" s="25"/>
    </row>
    <row r="12" spans="1:45" ht="39.25" customHeight="1" thickBot="1">
      <c r="A12" s="23"/>
      <c r="B12" s="57"/>
      <c r="C12" s="17" t="s">
        <v>8</v>
      </c>
      <c r="D12" s="11" t="s">
        <v>150</v>
      </c>
      <c r="E12" s="11" t="s">
        <v>166</v>
      </c>
      <c r="F12" s="11" t="s">
        <v>168</v>
      </c>
      <c r="G12" s="11" t="s">
        <v>167</v>
      </c>
      <c r="H12" s="11" t="s">
        <v>146</v>
      </c>
      <c r="I12" s="11" t="s">
        <v>142</v>
      </c>
      <c r="J12" s="11"/>
      <c r="K12" s="11"/>
      <c r="L12" s="11"/>
      <c r="M12" s="11"/>
      <c r="N12" s="11"/>
      <c r="O12" s="9" t="s">
        <v>142</v>
      </c>
      <c r="P12" s="11"/>
      <c r="Q12" s="11"/>
      <c r="R12" s="11"/>
      <c r="S12" s="11"/>
      <c r="T12" s="11"/>
      <c r="U12" s="67" t="s">
        <v>142</v>
      </c>
      <c r="V12" s="11"/>
      <c r="W12" s="11"/>
      <c r="X12" s="67" t="s">
        <v>142</v>
      </c>
      <c r="Y12" s="67"/>
      <c r="Z12" s="11"/>
      <c r="AA12" s="11"/>
      <c r="AB12" s="11"/>
      <c r="AC12" s="11"/>
      <c r="AD12" s="11"/>
      <c r="AE12" s="11"/>
      <c r="AF12" s="11"/>
      <c r="AG12" s="11"/>
      <c r="AH12" s="11"/>
      <c r="AI12" s="12"/>
      <c r="AJ12" s="19">
        <f>COUNTIF(E12:AI12,"/")+COUNTIF(E12:AI12,"I3")/2+COUNTIF(E12:AI12,"D1防")/2+COUNTIF(E12:AI12,"D1台")/2+COUNTIF(E12:AI12,"W7")/2+COUNTIF(E12:AI12,"H7")/2+COUNTIF(E12:AI12,"Y7")/2+COUNTIF(E12:AI12,"H5")/2+COUNTIF(E12:AI12,"門3")/2+COUNTIF(E12:AI12,"門5")/2++COUNTIF(E12:AI12,"門7")/2</f>
        <v>4.5</v>
      </c>
      <c r="AK12" s="20">
        <f t="shared" si="3"/>
        <v>0</v>
      </c>
      <c r="AL12" s="20">
        <f>COUNTIFS(E12:AI12,"E△",E$7:AI$7,"6")+COUNTIFS(E12:AI12,"E▲",E$7:AI$7,"6")</f>
        <v>0</v>
      </c>
      <c r="AM12" s="40">
        <f>COUNTIFS(E12:AI12,"E△",E$7:AI$7,"日")+COUNTIFS(E12:AI12,"E▲",E$7:AI$7,"日")</f>
        <v>0</v>
      </c>
      <c r="AN12" s="19">
        <f>COUNTIFS(E12:AI12,"/",E$7:AI$7,"1")+COUNTIFS(E12:AI12,"V",E$7:AI$7,"1")+COUNTIFS(E12:AI12,"公",E$7:AI$7,"1")+COUNTIFS(E12:AI12,"喪",E$7:AI$7,"1")+COUNTIFS(E12:AI12,"病",E$7:AI$7,"1")+COUNTIFS(E12:AI12,"事",E$7:AI$7,"1")+COUNTIFS(E12:AI12,"報備",E$7:AI$7,"1")</f>
        <v>1</v>
      </c>
      <c r="AO12" s="24">
        <f>COUNTIFS(E12:AI12,"/",E$7:AI$7,"2")+COUNTIFS(E12:AI12,"V",E$7:AI$7,"2")+COUNTIFS(E12:AI12,"公",E$7:AI$7,"2")+COUNTIFS(E12:AI12,"喪",E$7:AI$7,"2")+COUNTIFS(E12:AI12,"病",E$7:AI$7,"2")+COUNTIFS(E12:AI12,"事",E$7:AI$7,"2")+COUNTIFS(E12:AI12,"報備",E$7:AI$7,"2")</f>
        <v>0</v>
      </c>
      <c r="AQ12" s="25"/>
      <c r="AS12" s="25"/>
    </row>
    <row r="13" spans="1:45" ht="39.25" customHeight="1" thickBot="1">
      <c r="A13" s="23">
        <f>COUNTIFS(E13:AI13,"/",E$7:AI$7,"6")+COUNTIFS(E13:AI13,"v",E$7:AI$7,"6")+COUNTIFS(E13:AI13,"I3",E$7:AI$7,"6")/2+COUNTIFS(E13:AI13,"D1防",E$7:AI$7,"6")/2+COUNTIFS(E13:AI13,"D1台",E$7:AI$7,"6")/2+COUNTIFS(E13:AI13,"Y7",E$7:AI$7,"6")/2+COUNTIFS(E13:AI13,"H5",E$7:AI$7,"6")/2</f>
        <v>1.5</v>
      </c>
      <c r="B13" s="57">
        <f>COUNTIFS(E13:AI13,"/",E$7:AI$7,"日")+COUNTIFS(E13:AI13,"v",E$7:AI$7,"日")+COUNTIFS(E13:AI13,"I3",E$7:AI$7,"日")/2+COUNTIFS(E13:AI13,"D1防",E$7:AI$7,"日")/2+COUNTIFS(E13:AI13,"D1台",E$7:AI$7,"日")/2</f>
        <v>0</v>
      </c>
      <c r="C13" s="26" t="s">
        <v>9</v>
      </c>
      <c r="D13" s="27" t="s">
        <v>152</v>
      </c>
      <c r="E13" s="7" t="s">
        <v>142</v>
      </c>
      <c r="F13" s="27"/>
      <c r="G13" s="27"/>
      <c r="H13" s="27"/>
      <c r="I13" s="27"/>
      <c r="J13" s="27"/>
      <c r="K13" s="27"/>
      <c r="L13" s="68"/>
      <c r="M13" s="27"/>
      <c r="N13" s="27"/>
      <c r="O13" s="27" t="s">
        <v>171</v>
      </c>
      <c r="P13" s="27"/>
      <c r="Q13" s="27"/>
      <c r="R13" s="27"/>
      <c r="S13" s="27"/>
      <c r="T13" s="27"/>
      <c r="U13" s="67" t="s">
        <v>142</v>
      </c>
      <c r="V13" s="67" t="s">
        <v>142</v>
      </c>
      <c r="W13" s="27"/>
      <c r="X13" s="27"/>
      <c r="Y13" s="27"/>
      <c r="Z13" s="27"/>
      <c r="AA13" s="27"/>
      <c r="AB13" s="27"/>
      <c r="AC13" s="27"/>
      <c r="AD13" s="27"/>
      <c r="AE13" s="27"/>
      <c r="AF13" s="68"/>
      <c r="AG13" s="27"/>
      <c r="AH13" s="27"/>
      <c r="AI13" s="28"/>
      <c r="AJ13" s="19">
        <f>COUNTIF(E13:AI13,"/")+COUNTIF(E13:AI13,"I3")/2+COUNTIF(E13:AI13,"D1防")/2+COUNTIF(E13:AI13,"D1台")/2+COUNTIF(E13:AI13,"W7")/2+COUNTIF(E13:AI13,"H7")/2+COUNTIF(E13:AI13,"Y7")/2+COUNTIF(E13:AI13,"H5")/2+COUNTIF(E13:AI13,"門3")/2+COUNTIF(E13:AI13,"門5")/2++COUNTIF(E13:AI13,"門7")/2</f>
        <v>3.5</v>
      </c>
      <c r="AK13" s="20">
        <f t="shared" si="3"/>
        <v>0</v>
      </c>
      <c r="AL13" s="20">
        <f>COUNTIFS(E13:AI13,"E△",E$7:AI$7,"6")+COUNTIFS(E13:AI13,"E▲",E$7:AI$7,"6")</f>
        <v>0</v>
      </c>
      <c r="AM13" s="40">
        <f>COUNTIFS(E13:AI13,"E△",E$7:AI$7,"日")+COUNTIFS(E13:AI13,"E▲",E$7:AI$7,"日")</f>
        <v>0</v>
      </c>
      <c r="AN13" s="19">
        <f>COUNTIFS(E13:AI13,"/",E$7:AI$7,"1")+COUNTIFS(E13:AI13,"V",E$7:AI$7,"1")+COUNTIFS(E13:AI13,"公",E$7:AI$7,"1")+COUNTIFS(E13:AI13,"喪",E$7:AI$7,"1")+COUNTIFS(E13:AI13,"病",E$7:AI$7,"1")+COUNTIFS(E13:AI13,"事",E$7:AI$7,"1")+COUNTIFS(E13:AI13,"報備",E$7:AI$7,"1")</f>
        <v>0</v>
      </c>
      <c r="AO13" s="24">
        <f>COUNTIFS(E13:AI13,"/",E$7:AI$7,"2")+COUNTIFS(E13:AI13,"V",E$7:AI$7,"2")+COUNTIFS(E13:AI13,"公",E$7:AI$7,"2")+COUNTIFS(E13:AI13,"喪",E$7:AI$7,"2")+COUNTIFS(E13:AI13,"病",E$7:AI$7,"2")+COUNTIFS(E13:AI13,"事",E$7:AI$7,"2")+COUNTIFS(E13:AI13,"報備",E$7:AI$7,"2")</f>
        <v>0</v>
      </c>
      <c r="AQ13" s="25"/>
      <c r="AS13" s="25"/>
    </row>
    <row r="14" spans="1:45" ht="39.25" customHeight="1" thickBot="1">
      <c r="A14" s="23">
        <f>COUNTIFS(E14:AI14,"/",E$7:AI$7,"6")+COUNTIFS(E14:AI14,"v",E$7:AI$7,"6")+COUNTIFS(E14:AI14,"I3",E$7:AI$7,"6")/2+COUNTIFS(E14:AI14,"D1防",E$7:AI$7,"6")/2+COUNTIFS(E14:AI14,"D1台",E$7:AI$7,"6")/2+COUNTIFS(E14:AI14,"Y7",E$7:AI$7,"6")/2++COUNTIFS(E14:AI14,"H5",E$7:AI$7,"6")/2</f>
        <v>1</v>
      </c>
      <c r="B14" s="57">
        <f>COUNTIFS(E14:AI14,"/",E$7:AI$7,"日")+COUNTIFS(E14:AI14,"v",E$7:AI$7,"日")+COUNTIFS(E14:AI14,"I3",E$7:AI$7,"日")/2+COUNTIFS(E14:AI14,"D1防",E$7:AI$7,"日")/2+COUNTIFS(E14:AI14,"D1台",E$7:AI$7,"日")/2</f>
        <v>0</v>
      </c>
      <c r="C14" s="16" t="s">
        <v>10</v>
      </c>
      <c r="D14" s="9" t="s">
        <v>154</v>
      </c>
      <c r="E14" s="9" t="s">
        <v>170</v>
      </c>
      <c r="F14" s="9"/>
      <c r="G14" s="9"/>
      <c r="H14" s="9"/>
      <c r="I14" s="9"/>
      <c r="J14" s="67" t="s">
        <v>142</v>
      </c>
      <c r="K14" s="67" t="s">
        <v>142</v>
      </c>
      <c r="L14" s="9"/>
      <c r="M14" s="9"/>
      <c r="N14" s="9"/>
      <c r="O14" s="9" t="s">
        <v>142</v>
      </c>
      <c r="P14" s="9"/>
      <c r="Q14" s="9"/>
      <c r="R14" s="34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34"/>
      <c r="AE14" s="34"/>
      <c r="AF14" s="9"/>
      <c r="AG14" s="9"/>
      <c r="AH14" s="9"/>
      <c r="AI14" s="10"/>
      <c r="AJ14" s="19">
        <f>COUNTIF(E14:AI14,"/")+COUNTIF(E14:AI14,"I3")/2+COUNTIF(E14:AI14,"D1防")/2+COUNTIF(E14:AI14,"D1台")/2+COUNTIF(E14:AI14,"W7")/2+COUNTIF(E14:AI14,"H7")/2+COUNTIF(E14:AI14,"Y7")/2+COUNTIF(E14:AI14,"H5")/2+COUNTIF(E14:AI14,"門3")/2+COUNTIF(E14:AI14,"門5")/2++COUNTIF(E14:AI14,"門7")/2</f>
        <v>3</v>
      </c>
      <c r="AK14" s="20">
        <f t="shared" si="3"/>
        <v>1</v>
      </c>
      <c r="AL14" s="20">
        <f>COUNTIFS(E14:AI14,"E△",E$7:AI$7,"6")+COUNTIFS(E14:AI14,"E▲",E$7:AI$7,"6")</f>
        <v>0</v>
      </c>
      <c r="AM14" s="40">
        <f>COUNTIFS(E14:AI14,"E△",E$7:AI$7,"日")+COUNTIFS(E14:AI14,"E▲",E$7:AI$7,"日")</f>
        <v>0</v>
      </c>
      <c r="AN14" s="19">
        <f>COUNTIFS(E14:AI14,"/",E$7:AI$7,"1")+COUNTIFS(E14:AI14,"V",E$7:AI$7,"1")+COUNTIFS(E14:AI14,"公",E$7:AI$7,"1")+COUNTIFS(E14:AI14,"喪",E$7:AI$7,"1")+COUNTIFS(E14:AI14,"病",E$7:AI$7,"1")+COUNTIFS(E14:AI14,"事",E$7:AI$7,"1")+COUNTIFS(E14:AI14,"報備",E$7:AI$7,"1")</f>
        <v>1</v>
      </c>
      <c r="AO14" s="24">
        <f>COUNTIFS(E14:AI14,"/",E$7:AI$7,"2")+COUNTIFS(E14:AI14,"V",E$7:AI$7,"2")+COUNTIFS(E14:AI14,"公",E$7:AI$7,"2")+COUNTIFS(E14:AI14,"喪",E$7:AI$7,"2")+COUNTIFS(E14:AI14,"病",E$7:AI$7,"2")+COUNTIFS(E14:AI14,"事",E$7:AI$7,"2")+COUNTIFS(E14:AI14,"報備",E$7:AI$7,"2")</f>
        <v>1</v>
      </c>
      <c r="AQ14" s="25"/>
      <c r="AS14" s="25"/>
    </row>
    <row r="15" spans="1:45" ht="39.25" customHeight="1" thickBot="1">
      <c r="A15" s="23">
        <f>COUNTIFS(E15:AI15,"/",E$7:AI$7,"6")+COUNTIFS(E15:AI15,"v",E$7:AI$7,"6")+COUNTIFS(E15:AI15,"I3",E$7:AI$7,"6")/2+COUNTIFS(E15:AI15,"D1防",E$7:AI$7,"6")/2+COUNTIFS(E15:AI15,"D1台",E$7:AI$7,"6")/2+COUNTIFS(E15:AI15,"Y7",E$7:AI$7,"6")/2++COUNTIFS(E15:AI15,"H5",E$7:AI$7,"6")/2</f>
        <v>0</v>
      </c>
      <c r="B15" s="57">
        <f>COUNTIFS(E15:AI15,"/",E$7:AI$7,"日")+COUNTIFS(E15:AI15,"v",E$7:AI$7,"日")+COUNTIFS(E15:AI15,"I3",E$7:AI$7,"日")/2+COUNTIFS(E15:AI15,"D1防",E$7:AI$7,"日")/2+COUNTIFS(E15:AI15,"D1台",E$7:AI$7,"日")/2</f>
        <v>0</v>
      </c>
      <c r="C15" s="16" t="s">
        <v>11</v>
      </c>
      <c r="D15" s="9" t="s">
        <v>155</v>
      </c>
      <c r="E15" s="7" t="s">
        <v>142</v>
      </c>
      <c r="F15" s="9"/>
      <c r="G15" s="9"/>
      <c r="H15" s="9"/>
      <c r="I15" s="9"/>
      <c r="J15" s="9"/>
      <c r="K15" s="67" t="s">
        <v>142</v>
      </c>
      <c r="L15" s="9"/>
      <c r="M15" s="9"/>
      <c r="N15" s="9"/>
      <c r="O15" s="9" t="s">
        <v>170</v>
      </c>
      <c r="P15" s="34"/>
      <c r="Q15" s="34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10"/>
      <c r="AJ15" s="19">
        <f>COUNTIF(E15:AI15,"/")+COUNTIF(E15:AI15,"I3")/2+COUNTIF(E15:AI15,"D1防")/2+COUNTIF(E15:AI15,"D1台")/2+COUNTIF(E15:AI15,"W7")/2+COUNTIF(E15:AI15,"H7")/2+COUNTIF(E15:AI15,"Y7")/2+COUNTIF(E15:AI15,"H5")/2+COUNTIF(E15:AI15,"門3")/2+COUNTIF(E15:AI15,"門5")/2++COUNTIF(E15:AI15,"門7")/2</f>
        <v>2</v>
      </c>
      <c r="AK15" s="20">
        <f t="shared" si="3"/>
        <v>1</v>
      </c>
      <c r="AL15" s="20">
        <f>COUNTIFS(E15:AI15,"E△",E$7:AI$7,"6")+COUNTIFS(E15:AI15,"E▲",E$7:AI$7,"6")</f>
        <v>1</v>
      </c>
      <c r="AM15" s="40">
        <f>COUNTIFS(E15:AI15,"E△",E$7:AI$7,"日")+COUNTIFS(E15:AI15,"E▲",E$7:AI$7,"日")</f>
        <v>0</v>
      </c>
      <c r="AN15" s="19">
        <f>COUNTIFS(E15:AI15,"/",E$7:AI$7,"1")+COUNTIFS(E15:AI15,"V",E$7:AI$7,"1")+COUNTIFS(E15:AI15,"公",E$7:AI$7,"1")+COUNTIFS(E15:AI15,"喪",E$7:AI$7,"1")+COUNTIFS(E15:AI15,"病",E$7:AI$7,"1")+COUNTIFS(E15:AI15,"事",E$7:AI$7,"1")+COUNTIFS(E15:AI15,"報備",E$7:AI$7,"1")</f>
        <v>0</v>
      </c>
      <c r="AO15" s="24">
        <f>COUNTIFS(E15:AI15,"/",E$7:AI$7,"2")+COUNTIFS(E15:AI15,"V",E$7:AI$7,"2")+COUNTIFS(E15:AI15,"公",E$7:AI$7,"2")+COUNTIFS(E15:AI15,"喪",E$7:AI$7,"2")+COUNTIFS(E15:AI15,"病",E$7:AI$7,"2")+COUNTIFS(E15:AI15,"事",E$7:AI$7,"2")+COUNTIFS(E15:AI15,"報備",E$7:AI$7,"2")</f>
        <v>1</v>
      </c>
      <c r="AQ15" s="25"/>
      <c r="AS15" s="25"/>
    </row>
    <row r="16" spans="1:45" ht="39.25" customHeight="1">
      <c r="A16" s="23">
        <f>COUNTIFS(E16:AI16,"/",E$7:AI$7,"6")+COUNTIFS(E16:AI16,"v",E$7:AI$7,"6")+COUNTIFS(E16:AI16,"I3",E$7:AI$7,"6")/2+COUNTIFS(E16:AI16,"D1防",E$7:AI$7,"6")/2+COUNTIFS(E16:AI16,"D1台",E$7:AI$7,"6")/2+COUNTIFS(E16:AI16,"Y7",E$7:AI$7,"6")/2++COUNTIFS(E16:AI16,"H5",E$7:AI$7,"6")/2</f>
        <v>1</v>
      </c>
      <c r="B16" s="57">
        <f>COUNTIFS(E16:AI16,"/",E$7:AI$7,"日")+COUNTIFS(E16:AI16,"v",E$7:AI$7,"日")+COUNTIFS(E16:AI16,"I3",E$7:AI$7,"日")/2+COUNTIFS(E16:AI16,"D1防",E$7:AI$7,"日")/2+COUNTIFS(E16:AI16,"D1台",E$7:AI$7,"日")/2</f>
        <v>0</v>
      </c>
      <c r="C16" s="16" t="s">
        <v>12</v>
      </c>
      <c r="D16" s="9" t="s">
        <v>156</v>
      </c>
      <c r="E16" s="7" t="s">
        <v>142</v>
      </c>
      <c r="F16" s="9"/>
      <c r="G16" s="9"/>
      <c r="H16" s="9"/>
      <c r="I16" s="9"/>
      <c r="J16" s="9"/>
      <c r="K16" s="9"/>
      <c r="L16" s="67" t="s">
        <v>142</v>
      </c>
      <c r="M16" s="9"/>
      <c r="N16" s="9"/>
      <c r="O16" s="9" t="s">
        <v>142</v>
      </c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34"/>
      <c r="AH16" s="34"/>
      <c r="AI16" s="10"/>
      <c r="AJ16" s="19">
        <f>COUNTIF(E16:AI16,"/")+COUNTIF(E16:AI16,"I3")/2+COUNTIF(E16:AI16,"D1防")/2+COUNTIF(E16:AI16,"D1台")/2+COUNTIF(E16:AI16,"W7")/2+COUNTIF(E16:AI16,"H7")/2+COUNTIF(E16:AI16,"Y7")/2+COUNTIF(E16:AI16,"H5")/2+COUNTIF(E16:AI16,"門3")/2+COUNTIF(E16:AI16,"門5")/2++COUNTIF(E16:AI16,"門7")/2</f>
        <v>3</v>
      </c>
      <c r="AK16" s="20">
        <f t="shared" si="3"/>
        <v>0</v>
      </c>
      <c r="AL16" s="20">
        <f>COUNTIFS(E16:AI16,"E△",E$7:AI$7,"6")+COUNTIFS(E16:AI16,"E▲",E$7:AI$7,"6")</f>
        <v>0</v>
      </c>
      <c r="AM16" s="40">
        <f>COUNTIFS(E16:AI16,"E△",E$7:AI$7,"日")+COUNTIFS(E16:AI16,"E▲",E$7:AI$7,"日")</f>
        <v>0</v>
      </c>
      <c r="AN16" s="19">
        <f>COUNTIFS(E16:AI16,"/",E$7:AI$7,"1")+COUNTIFS(E16:AI16,"V",E$7:AI$7,"1")+COUNTIFS(E16:AI16,"公",E$7:AI$7,"1")+COUNTIFS(E16:AI16,"喪",E$7:AI$7,"1")+COUNTIFS(E16:AI16,"病",E$7:AI$7,"1")+COUNTIFS(E16:AI16,"事",E$7:AI$7,"1")+COUNTIFS(E16:AI16,"報備",E$7:AI$7,"1")</f>
        <v>0</v>
      </c>
      <c r="AO16" s="24">
        <f>COUNTIFS(E16:AI16,"/",E$7:AI$7,"2")+COUNTIFS(E16:AI16,"V",E$7:AI$7,"2")+COUNTIFS(E16:AI16,"公",E$7:AI$7,"2")+COUNTIFS(E16:AI16,"喪",E$7:AI$7,"2")+COUNTIFS(E16:AI16,"病",E$7:AI$7,"2")+COUNTIFS(E16:AI16,"事",E$7:AI$7,"2")+COUNTIFS(E16:AI16,"報備",E$7:AI$7,"2")</f>
        <v>0</v>
      </c>
      <c r="AQ16" s="25"/>
      <c r="AS16" s="25"/>
    </row>
    <row r="17" spans="1:45" ht="39.25" customHeight="1" thickBot="1">
      <c r="A17" s="23">
        <f>COUNTIFS(E17:AI17,"/",E$7:AI$7,"6")+COUNTIFS(E17:AI17,"v",E$7:AI$7,"6")+COUNTIFS(E17:AI17,"I3",E$7:AI$7,"6")/2+COUNTIFS(E17:AI17,"D1防",E$7:AI$7,"6")/2+COUNTIFS(E17:AI17,"D1台",E$7:AI$7,"6")/2+COUNTIFS(E17:AI17,"Y7",E$7:AI$7,"6")/2++COUNTIFS(E17:AI17,"H5",E$7:AI$7,"6")/2</f>
        <v>1.5</v>
      </c>
      <c r="B17" s="57">
        <f>COUNTIFS(E17:AI17,"/",E$7:AI$7,"日")+COUNTIFS(E17:AI17,"v",E$7:AI$7,"日")+COUNTIFS(E17:AI17,"I3",E$7:AI$7,"日")/2+COUNTIFS(E17:AI17,"D1防",E$7:AI$7,"日")/2+COUNTIFS(E17:AI17,"D1台",E$7:AI$7,"日")/2</f>
        <v>0</v>
      </c>
      <c r="C17" s="16" t="s">
        <v>13</v>
      </c>
      <c r="D17" s="9" t="s">
        <v>157</v>
      </c>
      <c r="E17" s="9" t="s">
        <v>172</v>
      </c>
      <c r="F17" s="9"/>
      <c r="G17" s="9"/>
      <c r="H17" s="9" t="s">
        <v>142</v>
      </c>
      <c r="I17" s="9"/>
      <c r="J17" s="9"/>
      <c r="K17" s="9"/>
      <c r="L17" s="9"/>
      <c r="M17" s="9"/>
      <c r="N17" s="9"/>
      <c r="O17" s="9" t="s">
        <v>165</v>
      </c>
      <c r="P17" s="9"/>
      <c r="Q17" s="9"/>
      <c r="R17" s="34"/>
      <c r="S17" s="9"/>
      <c r="T17" s="9"/>
      <c r="U17" s="9"/>
      <c r="V17" s="34"/>
      <c r="W17" s="9"/>
      <c r="X17" s="9"/>
      <c r="Y17" s="65"/>
      <c r="Z17" s="9"/>
      <c r="AA17" s="9"/>
      <c r="AB17" s="65"/>
      <c r="AC17" s="9"/>
      <c r="AD17" s="9"/>
      <c r="AE17" s="9"/>
      <c r="AF17" s="9"/>
      <c r="AG17" s="9"/>
      <c r="AH17" s="9"/>
      <c r="AI17" s="10"/>
      <c r="AJ17" s="19">
        <f>COUNTIF(E17:AI17,"/")+COUNTIF(E17:AI17,"I3")/2+COUNTIF(E17:AI17,"D1防")/2+COUNTIF(E17:AI17,"D1台")/2+COUNTIF(E17:AI17,"W7")/2+COUNTIF(E17:AI17,"H7")/2+COUNTIF(E17:AI17,"Y7")/2+COUNTIF(E17:AI17,"H5")/2+COUNTIF(E17:AI17,"門3")/2+COUNTIF(E17:AI17,"門5")/2++COUNTIF(E17:AI17,"門7")/2</f>
        <v>1.5</v>
      </c>
      <c r="AK17" s="20">
        <f t="shared" si="3"/>
        <v>1</v>
      </c>
      <c r="AL17" s="20">
        <f>COUNTIFS(E17:AI17,"E△",E$7:AI$7,"6")+COUNTIFS(E17:AI17,"E▲",E$7:AI$7,"6")</f>
        <v>0</v>
      </c>
      <c r="AM17" s="40">
        <f>COUNTIFS(E17:AI17,"E△",E$7:AI$7,"日")+COUNTIFS(E17:AI17,"E▲",E$7:AI$7,"日")</f>
        <v>0</v>
      </c>
      <c r="AN17" s="19">
        <f>COUNTIFS(E17:AI17,"/",E$7:AI$7,"1")+COUNTIFS(E17:AI17,"V",E$7:AI$7,"1")+COUNTIFS(E17:AI17,"公",E$7:AI$7,"1")+COUNTIFS(E17:AI17,"喪",E$7:AI$7,"1")+COUNTIFS(E17:AI17,"病",E$7:AI$7,"1")+COUNTIFS(E17:AI17,"事",E$7:AI$7,"1")+COUNTIFS(E17:AI17,"報備",E$7:AI$7,"1")</f>
        <v>0</v>
      </c>
      <c r="AO17" s="24">
        <f>COUNTIFS(E17:AI17,"/",E$7:AI$7,"2")+COUNTIFS(E17:AI17,"V",E$7:AI$7,"2")+COUNTIFS(E17:AI17,"公",E$7:AI$7,"2")+COUNTIFS(E17:AI17,"喪",E$7:AI$7,"2")+COUNTIFS(E17:AI17,"病",E$7:AI$7,"2")+COUNTIFS(E17:AI17,"事",E$7:AI$7,"2")+COUNTIFS(E17:AI17,"報備",E$7:AI$7,"2")</f>
        <v>0</v>
      </c>
      <c r="AQ17" s="25"/>
      <c r="AS17" s="25"/>
    </row>
    <row r="18" spans="1:45" ht="39.25" customHeight="1" thickBot="1">
      <c r="A18" s="23">
        <f>COUNTIFS(E18:AI18,"/",E$7:AI$7,"6")+COUNTIFS(E18:AI18,"v",E$7:AI$7,"6")+COUNTIFS(E18:AI18,"I3",E$7:AI$7,"6")/2+COUNTIFS(E18:AI18,"D1防",E$7:AI$7,"6")/2+COUNTIFS(E18:AI18,"D1台",E$7:AI$7,"6")/2+COUNTIFS(E18:AI18,"Y7",E$7:AI$7,"6")/2++COUNTIFS(E18:AI18,"H5",E$7:AI$7,"6")/2</f>
        <v>1</v>
      </c>
      <c r="B18" s="57">
        <f>COUNTIFS(E18:AI18,"/",E$7:AI$7,"日")+COUNTIFS(E18:AI18,"v",E$7:AI$7,"日")+COUNTIFS(E18:AI18,"I3",E$7:AI$7,"日")/2+COUNTIFS(E18:AI18,"D1防",E$7:AI$7,"日")/2+COUNTIFS(E18:AI18,"D1台",E$7:AI$7,"日")/2</f>
        <v>0</v>
      </c>
      <c r="C18" s="16" t="s">
        <v>14</v>
      </c>
      <c r="D18" s="9" t="s">
        <v>158</v>
      </c>
      <c r="E18" s="7" t="s">
        <v>142</v>
      </c>
      <c r="F18" s="9"/>
      <c r="G18" s="9"/>
      <c r="H18" s="9"/>
      <c r="I18" s="9"/>
      <c r="J18" s="9"/>
      <c r="K18" s="9"/>
      <c r="L18" s="9"/>
      <c r="M18" s="9"/>
      <c r="N18" s="65"/>
      <c r="O18" s="9" t="s">
        <v>142</v>
      </c>
      <c r="P18" s="9"/>
      <c r="Q18" s="9"/>
      <c r="R18" s="9"/>
      <c r="S18" s="34"/>
      <c r="T18" s="34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10"/>
      <c r="AJ18" s="19">
        <f>COUNTIF(E18:AI18,"/")+COUNTIF(E18:AI18,"I3")/2+COUNTIF(E18:AI18,"D1防")/2+COUNTIF(E18:AI18,"D1台")/2+COUNTIF(E18:AI18,"W7")/2+COUNTIF(E18:AI18,"H7")/2+COUNTIF(E18:AI18,"Y7")/2+COUNTIF(E18:AI18,"H5")/2+COUNTIF(E18:AI18,"門3")/2+COUNTIF(E18:AI18,"門5")/2++COUNTIF(E18:AI18,"門7")/2</f>
        <v>2</v>
      </c>
      <c r="AK18" s="20">
        <f t="shared" si="3"/>
        <v>0</v>
      </c>
      <c r="AL18" s="20">
        <f>COUNTIFS(E18:AI18,"E△",E$7:AI$7,"6")+COUNTIFS(E18:AI18,"E▲",E$7:AI$7,"6")</f>
        <v>0</v>
      </c>
      <c r="AM18" s="40">
        <f>COUNTIFS(E18:AI18,"E△",E$7:AI$7,"日")+COUNTIFS(E18:AI18,"E▲",E$7:AI$7,"日")</f>
        <v>0</v>
      </c>
      <c r="AN18" s="19">
        <f>COUNTIFS(E18:AI18,"/",E$7:AI$7,"1")+COUNTIFS(E18:AI18,"V",E$7:AI$7,"1")+COUNTIFS(E18:AI18,"公",E$7:AI$7,"1")+COUNTIFS(E18:AI18,"喪",E$7:AI$7,"1")+COUNTIFS(E18:AI18,"病",E$7:AI$7,"1")+COUNTIFS(E18:AI18,"事",E$7:AI$7,"1")+COUNTIFS(E18:AI18,"報備",E$7:AI$7,"1")</f>
        <v>0</v>
      </c>
      <c r="AO18" s="24">
        <f>COUNTIFS(E18:AI18,"/",E$7:AI$7,"2")+COUNTIFS(E18:AI18,"V",E$7:AI$7,"2")+COUNTIFS(E18:AI18,"公",E$7:AI$7,"2")+COUNTIFS(E18:AI18,"喪",E$7:AI$7,"2")+COUNTIFS(E18:AI18,"病",E$7:AI$7,"2")+COUNTIFS(E18:AI18,"事",E$7:AI$7,"2")+COUNTIFS(E18:AI18,"報備",E$7:AI$7,"2")</f>
        <v>0</v>
      </c>
      <c r="AQ18" s="25"/>
      <c r="AS18" s="25"/>
    </row>
    <row r="19" spans="1:45" ht="39.25" customHeight="1" thickBot="1">
      <c r="A19" s="23">
        <f>COUNTIFS(E19:AI19,"/",E$7:AI$7,"6")+COUNTIFS(E19:AI19,"v",E$7:AI$7,"6")+COUNTIFS(E19:AI19,"I3",E$7:AI$7,"6")/2+COUNTIFS(E19:AI19,"D1防",E$7:AI$7,"6")/2+COUNTIFS(E19:AI19,"D1台",E$7:AI$7,"6")/2+COUNTIFS(E19:AI19,"Y7",E$7:AI$7,"6")/2++COUNTIFS(E19:AI19,"H5",E$7:AI$7,"6")/2</f>
        <v>2</v>
      </c>
      <c r="B19" s="57">
        <f>COUNTIFS(E19:AI19,"/",E$7:AI$7,"日")+COUNTIFS(E19:AI19,"v",E$7:AI$7,"日")+COUNTIFS(E19:AI19,"I3",E$7:AI$7,"日")/2+COUNTIFS(E19:AI19,"D1防",E$7:AI$7,"日")/2+COUNTIFS(E19:AI19,"D1台",E$7:AI$7,"日")/2</f>
        <v>0</v>
      </c>
      <c r="C19" s="16" t="s">
        <v>15</v>
      </c>
      <c r="D19" s="9" t="s">
        <v>159</v>
      </c>
      <c r="E19" s="7" t="s">
        <v>142</v>
      </c>
      <c r="F19" s="9"/>
      <c r="G19" s="9"/>
      <c r="H19" s="9"/>
      <c r="I19" s="9"/>
      <c r="J19" s="9"/>
      <c r="K19" s="9"/>
      <c r="L19" s="9"/>
      <c r="M19" s="9"/>
      <c r="N19" s="9"/>
      <c r="O19" s="9" t="s">
        <v>142</v>
      </c>
      <c r="P19" s="9"/>
      <c r="Q19" s="9"/>
      <c r="R19" s="9"/>
      <c r="S19" s="67" t="s">
        <v>142</v>
      </c>
      <c r="T19" s="9"/>
      <c r="U19" s="9"/>
      <c r="V19" s="67" t="s">
        <v>142</v>
      </c>
      <c r="W19" s="9"/>
      <c r="X19" s="9"/>
      <c r="Y19" s="9"/>
      <c r="Z19" s="9"/>
      <c r="AA19" s="9"/>
      <c r="AB19" s="9"/>
      <c r="AC19" s="34"/>
      <c r="AD19" s="9"/>
      <c r="AE19" s="9"/>
      <c r="AF19" s="9"/>
      <c r="AG19" s="9"/>
      <c r="AH19" s="9"/>
      <c r="AI19" s="10"/>
      <c r="AJ19" s="19">
        <f>COUNTIF(E19:AI19,"/")+COUNTIF(E19:AI19,"I3")/2+COUNTIF(E19:AI19,"D1防")/2+COUNTIF(E19:AI19,"D1台")/2+COUNTIF(E19:AI19,"W7")/2+COUNTIF(E19:AI19,"H7")/2+COUNTIF(E19:AI19,"Y7")/2+COUNTIF(E19:AI19,"H5")/2+COUNTIF(E19:AI19,"門3")/2+COUNTIF(E19:AI19,"門5")/2++COUNTIF(E19:AI19,"門7")/2</f>
        <v>4</v>
      </c>
      <c r="AK19" s="20">
        <f t="shared" si="3"/>
        <v>0</v>
      </c>
      <c r="AL19" s="20">
        <f>COUNTIFS(E19:AI19,"E△",E$7:AI$7,"6")+COUNTIFS(E19:AI19,"E▲",E$7:AI$7,"6")</f>
        <v>0</v>
      </c>
      <c r="AM19" s="40">
        <f>COUNTIFS(E19:AI19,"E△",E$7:AI$7,"日")+COUNTIFS(E19:AI19,"E▲",E$7:AI$7,"日")</f>
        <v>0</v>
      </c>
      <c r="AN19" s="19">
        <f>COUNTIFS(E19:AI19,"/",E$7:AI$7,"1")+COUNTIFS(E19:AI19,"V",E$7:AI$7,"1")+COUNTIFS(E19:AI19,"公",E$7:AI$7,"1")+COUNTIFS(E19:AI19,"喪",E$7:AI$7,"1")+COUNTIFS(E19:AI19,"病",E$7:AI$7,"1")+COUNTIFS(E19:AI19,"事",E$7:AI$7,"1")+COUNTIFS(E19:AI19,"報備",E$7:AI$7,"1")</f>
        <v>0</v>
      </c>
      <c r="AO19" s="24">
        <f>COUNTIFS(E19:AI19,"/",E$7:AI$7,"2")+COUNTIFS(E19:AI19,"V",E$7:AI$7,"2")+COUNTIFS(E19:AI19,"公",E$7:AI$7,"2")+COUNTIFS(E19:AI19,"喪",E$7:AI$7,"2")+COUNTIFS(E19:AI19,"病",E$7:AI$7,"2")+COUNTIFS(E19:AI19,"事",E$7:AI$7,"2")+COUNTIFS(E19:AI19,"報備",E$7:AI$7,"2")</f>
        <v>0</v>
      </c>
      <c r="AQ19" s="25"/>
      <c r="AS19" s="25"/>
    </row>
    <row r="20" spans="1:45" ht="39.25" customHeight="1" thickBot="1">
      <c r="A20" s="23">
        <f>COUNTIFS(E20:AI20,"/",E$7:AI$7,"6")+COUNTIFS(E20:AI20,"v",E$7:AI$7,"6")+COUNTIFS(E20:AI20,"I3",E$7:AI$7,"6")/2+COUNTIFS(E20:AI20,"D1防",E$7:AI$7,"6")/2+COUNTIFS(E20:AI20,"D1台",E$7:AI$7,"6")/2+COUNTIFS(E20:AI20,"Y7",E$7:AI$7,"6")/2++COUNTIFS(E20:AI20,"H5",E$7:AI$7,"6")/2</f>
        <v>0</v>
      </c>
      <c r="B20" s="57">
        <f>COUNTIFS(E20:AI20,"/",E$7:AI$7,"日")+COUNTIFS(E20:AI20,"v",E$7:AI$7,"日")+COUNTIFS(E20:AI20,"I3",E$7:AI$7,"日")/2+COUNTIFS(E20:AI20,"D1防",E$7:AI$7,"日")/2+COUNTIFS(E20:AI20,"D1台",E$7:AI$7,"日")/2</f>
        <v>0</v>
      </c>
      <c r="C20" s="16" t="s">
        <v>16</v>
      </c>
      <c r="D20" s="9" t="s">
        <v>160</v>
      </c>
      <c r="E20" s="7" t="s">
        <v>142</v>
      </c>
      <c r="F20" s="9"/>
      <c r="G20" s="9"/>
      <c r="H20" s="9"/>
      <c r="I20" s="9"/>
      <c r="J20" s="9"/>
      <c r="K20" s="9"/>
      <c r="L20" s="9"/>
      <c r="M20" s="9"/>
      <c r="N20" s="9"/>
      <c r="O20" s="9" t="s">
        <v>172</v>
      </c>
      <c r="P20" s="9"/>
      <c r="Q20" s="67" t="s">
        <v>142</v>
      </c>
      <c r="R20" s="67" t="s">
        <v>142</v>
      </c>
      <c r="S20" s="9"/>
      <c r="T20" s="9"/>
      <c r="U20" s="9"/>
      <c r="V20" s="9"/>
      <c r="W20" s="9"/>
      <c r="X20" s="9"/>
      <c r="Y20" s="9"/>
      <c r="Z20" s="34"/>
      <c r="AA20" s="9"/>
      <c r="AB20" s="9"/>
      <c r="AC20" s="9"/>
      <c r="AD20" s="9"/>
      <c r="AE20" s="9"/>
      <c r="AF20" s="9"/>
      <c r="AG20" s="9"/>
      <c r="AH20" s="9"/>
      <c r="AI20" s="69"/>
      <c r="AJ20" s="19">
        <f>COUNTIF(E20:AI20,"/")+COUNTIF(E20:AI20,"I3")/2+COUNTIF(E20:AI20,"D1防")/2+COUNTIF(E20:AI20,"D1台")/2+COUNTIF(E20:AI20,"W7")/2+COUNTIF(E20:AI20,"H7")/2+COUNTIF(E20:AI20,"Y7")/2+COUNTIF(E20:AI20,"H5")/2+COUNTIF(E20:AI20,"門3")/2+COUNTIF(E20:AI20,"門5")/2++COUNTIF(E20:AI20,"門7")/2</f>
        <v>3</v>
      </c>
      <c r="AK20" s="20">
        <f t="shared" si="3"/>
        <v>1</v>
      </c>
      <c r="AL20" s="20">
        <f>COUNTIFS(E20:AI20,"E△",E$7:AI$7,"6")+COUNTIFS(E20:AI20,"E▲",E$7:AI$7,"6")</f>
        <v>1</v>
      </c>
      <c r="AM20" s="40">
        <f>COUNTIFS(E20:AI20,"E△",E$7:AI$7,"日")+COUNTIFS(E20:AI20,"E▲",E$7:AI$7,"日")</f>
        <v>0</v>
      </c>
      <c r="AN20" s="19">
        <f>COUNTIFS(E20:AI20,"/",E$7:AI$7,"1")+COUNTIFS(E20:AI20,"V",E$7:AI$7,"1")+COUNTIFS(E20:AI20,"公",E$7:AI$7,"1")+COUNTIFS(E20:AI20,"喪",E$7:AI$7,"1")+COUNTIFS(E20:AI20,"病",E$7:AI$7,"1")+COUNTIFS(E20:AI20,"事",E$7:AI$7,"1")+COUNTIFS(E20:AI20,"報備",E$7:AI$7,"1")</f>
        <v>1</v>
      </c>
      <c r="AO20" s="24">
        <f>COUNTIFS(E20:AI20,"/",E$7:AI$7,"2")+COUNTIFS(E20:AI20,"V",E$7:AI$7,"2")+COUNTIFS(E20:AI20,"公",E$7:AI$7,"2")+COUNTIFS(E20:AI20,"喪",E$7:AI$7,"2")+COUNTIFS(E20:AI20,"病",E$7:AI$7,"2")+COUNTIFS(E20:AI20,"事",E$7:AI$7,"2")+COUNTIFS(E20:AI20,"報備",E$7:AI$7,"2")</f>
        <v>1</v>
      </c>
      <c r="AQ20" s="25"/>
      <c r="AS20" s="25"/>
    </row>
    <row r="21" spans="1:45" ht="39.25" customHeight="1" thickBot="1">
      <c r="A21" s="23">
        <f>COUNTIFS(E21:AI21,"/",E$7:AI$7,"6")+COUNTIFS(E21:AI21,"v",E$7:AI$7,"6")+COUNTIFS(E21:AI21,"I3",E$7:AI$7,"6")/2+COUNTIFS(E21:AI21,"D1防",E$7:AI$7,"6")/2+COUNTIFS(E21:AI21,"D1台",E$7:AI$7,"6")/2+COUNTIFS(E21:AI21,"Y7",E$7:AI$7,"6")/2++COUNTIFS(E21:AI21,"H5",E$7:AI$7,"6")/2</f>
        <v>1</v>
      </c>
      <c r="B21" s="57">
        <f>COUNTIFS(E21:AI21,"/",E$7:AI$7,"日")+COUNTIFS(E21:AI21,"v",E$7:AI$7,"日")+COUNTIFS(E21:AI21,"I3",E$7:AI$7,"日")/2+COUNTIFS(E21:AI21,"D1防",E$7:AI$7,"日")/2+COUNTIFS(E21:AI21,"D1台",E$7:AI$7,"日")/2</f>
        <v>1</v>
      </c>
      <c r="C21" s="16" t="s">
        <v>17</v>
      </c>
      <c r="D21" s="9" t="s">
        <v>161</v>
      </c>
      <c r="E21" s="7" t="s">
        <v>142</v>
      </c>
      <c r="F21" s="34"/>
      <c r="G21" s="9"/>
      <c r="H21" s="9"/>
      <c r="I21" s="9"/>
      <c r="J21" s="9"/>
      <c r="K21" s="9"/>
      <c r="L21" s="9"/>
      <c r="M21" s="9"/>
      <c r="N21" s="9"/>
      <c r="O21" s="9" t="s">
        <v>142</v>
      </c>
      <c r="P21" s="9"/>
      <c r="Q21" s="34"/>
      <c r="R21" s="9"/>
      <c r="S21" s="9"/>
      <c r="T21" s="9"/>
      <c r="U21" s="9"/>
      <c r="V21" s="9"/>
      <c r="W21" s="67" t="s">
        <v>142</v>
      </c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10"/>
      <c r="AJ21" s="19">
        <f>COUNTIF(E21:AI21,"/")+COUNTIF(E21:AI21,"I3")/2+COUNTIF(E21:AI21,"D1防")/2+COUNTIF(E21:AI21,"D1台")/2+COUNTIF(E21:AI21,"W7")/2+COUNTIF(E21:AI21,"H7")/2+COUNTIF(E21:AI21,"Y7")/2+COUNTIF(E21:AI21,"H5")/2+COUNTIF(E21:AI21,"門3")/2+COUNTIF(E21:AI21,"門5")/2++COUNTIF(E21:AI21,"門7")/2</f>
        <v>3</v>
      </c>
      <c r="AK21" s="20">
        <f t="shared" si="3"/>
        <v>0</v>
      </c>
      <c r="AL21" s="20">
        <f>COUNTIFS(E21:AI21,"E△",E$7:AI$7,"6")+COUNTIFS(E21:AI21,"E▲",E$7:AI$7,"6")</f>
        <v>0</v>
      </c>
      <c r="AM21" s="40">
        <f>COUNTIFS(E21:AI21,"E△",E$7:AI$7,"日")+COUNTIFS(E21:AI21,"E▲",E$7:AI$7,"日")</f>
        <v>0</v>
      </c>
      <c r="AN21" s="19">
        <f>COUNTIFS(E21:AI21,"/",E$7:AI$7,"1")+COUNTIFS(E21:AI21,"V",E$7:AI$7,"1")+COUNTIFS(E21:AI21,"公",E$7:AI$7,"1")+COUNTIFS(E21:AI21,"喪",E$7:AI$7,"1")+COUNTIFS(E21:AI21,"病",E$7:AI$7,"1")+COUNTIFS(E21:AI21,"事",E$7:AI$7,"1")+COUNTIFS(E21:AI21,"報備",E$7:AI$7,"1")</f>
        <v>0</v>
      </c>
      <c r="AO21" s="24">
        <f>COUNTIFS(E21:AI21,"/",E$7:AI$7,"2")+COUNTIFS(E21:AI21,"V",E$7:AI$7,"2")+COUNTIFS(E21:AI21,"公",E$7:AI$7,"2")+COUNTIFS(E21:AI21,"喪",E$7:AI$7,"2")+COUNTIFS(E21:AI21,"病",E$7:AI$7,"2")+COUNTIFS(E21:AI21,"事",E$7:AI$7,"2")+COUNTIFS(E21:AI21,"報備",E$7:AI$7,"2")</f>
        <v>0</v>
      </c>
      <c r="AQ21" s="25"/>
      <c r="AS21" s="25"/>
    </row>
    <row r="22" spans="1:45" ht="39.25" customHeight="1" thickBot="1">
      <c r="A22" s="23">
        <f>COUNTIFS(E22:AI22,"/",E$7:AI$7,"6")+COUNTIFS(E22:AI22,"v",E$7:AI$7,"6")+COUNTIFS(E22:AI22,"I3",E$7:AI$7,"6")/2+COUNTIFS(E22:AI22,"D1防",E$7:AI$7,"6")/2+COUNTIFS(E22:AI22,"D1台",E$7:AI$7,"6")/2+COUNTIFS(E22:AI22,"Y7",E$7:AI$7,"6")/2++COUNTIFS(E22:AI22,"H5",E$7:AI$7,"6")/2</f>
        <v>0</v>
      </c>
      <c r="B22" s="57">
        <f>COUNTIFS(E22:AI22,"/",E$7:AI$7,"日")+COUNTIFS(E22:AI22,"v",E$7:AI$7,"日")+COUNTIFS(E22:AI22,"I3",E$7:AI$7,"日")/2+COUNTIFS(E22:AI22,"D1防",E$7:AI$7,"日")/2+COUNTIFS(E22:AI22,"D1台",E$7:AI$7,"日")/2</f>
        <v>0</v>
      </c>
      <c r="C22" s="16" t="s">
        <v>18</v>
      </c>
      <c r="D22" s="9" t="s">
        <v>162</v>
      </c>
      <c r="E22" s="9" t="s">
        <v>173</v>
      </c>
      <c r="F22" s="9"/>
      <c r="G22" s="9"/>
      <c r="H22" s="9"/>
      <c r="I22" s="9"/>
      <c r="J22" s="9"/>
      <c r="K22" s="9"/>
      <c r="L22" s="9"/>
      <c r="M22" s="9"/>
      <c r="N22" s="9"/>
      <c r="O22" s="9" t="s">
        <v>167</v>
      </c>
      <c r="P22" s="9"/>
      <c r="Q22" s="9"/>
      <c r="R22" s="9"/>
      <c r="S22" s="67" t="s">
        <v>142</v>
      </c>
      <c r="T22" s="9"/>
      <c r="U22" s="9"/>
      <c r="V22" s="9"/>
      <c r="W22" s="56"/>
      <c r="X22" s="56"/>
      <c r="Y22" s="56"/>
      <c r="Z22" s="9"/>
      <c r="AA22" s="34"/>
      <c r="AB22" s="34"/>
      <c r="AC22" s="9"/>
      <c r="AD22" s="9"/>
      <c r="AE22" s="9"/>
      <c r="AF22" s="9"/>
      <c r="AG22" s="9"/>
      <c r="AH22" s="9"/>
      <c r="AI22" s="10"/>
      <c r="AJ22" s="19">
        <f>COUNTIF(E22:AI22,"/")+COUNTIF(E22:AI22,"I3")/2+COUNTIF(E22:AI22,"D1防")/2+COUNTIF(E22:AI22,"D1台")/2+COUNTIF(E22:AI22,"W7")/2+COUNTIF(E22:AI22,"H7")/2+COUNTIF(E22:AI22,"Y7")/2+COUNTIF(E22:AI22,"H5")/2+COUNTIF(E22:AI22,"門3")/2+COUNTIF(E22:AI22,"門5")/2++COUNTIF(E22:AI22,"門7")/2</f>
        <v>1</v>
      </c>
      <c r="AK22" s="20">
        <f t="shared" si="3"/>
        <v>0</v>
      </c>
      <c r="AL22" s="20">
        <f>COUNTIFS(E22:AI22,"E△",E$7:AI$7,"6")+COUNTIFS(E22:AI22,"E▲",E$7:AI$7,"6")</f>
        <v>0</v>
      </c>
      <c r="AM22" s="40">
        <f>COUNTIFS(E22:AI22,"E△",E$7:AI$7,"日")+COUNTIFS(E22:AI22,"E▲",E$7:AI$7,"日")</f>
        <v>0</v>
      </c>
      <c r="AN22" s="19">
        <f>COUNTIFS(E22:AI22,"/",E$7:AI$7,"1")+COUNTIFS(E22:AI22,"V",E$7:AI$7,"1")+COUNTIFS(E22:AI22,"公",E$7:AI$7,"1")+COUNTIFS(E22:AI22,"喪",E$7:AI$7,"1")+COUNTIFS(E22:AI22,"病",E$7:AI$7,"1")+COUNTIFS(E22:AI22,"事",E$7:AI$7,"1")+COUNTIFS(E22:AI22,"報備",E$7:AI$7,"1")</f>
        <v>0</v>
      </c>
      <c r="AO22" s="24">
        <f>COUNTIFS(E22:AI22,"/",E$7:AI$7,"2")+COUNTIFS(E22:AI22,"V",E$7:AI$7,"2")+COUNTIFS(E22:AI22,"公",E$7:AI$7,"2")+COUNTIFS(E22:AI22,"喪",E$7:AI$7,"2")+COUNTIFS(E22:AI22,"病",E$7:AI$7,"2")+COUNTIFS(E22:AI22,"事",E$7:AI$7,"2")+COUNTIFS(E22:AI22,"報備",E$7:AI$7,"2")</f>
        <v>0</v>
      </c>
      <c r="AQ22" s="25"/>
      <c r="AS22" s="25"/>
    </row>
    <row r="23" spans="1:45" ht="39.25" customHeight="1" thickBot="1">
      <c r="A23" s="23">
        <f>COUNTIFS(E23:AI23,"/",E$7:AI$7,"6")+COUNTIFS(E23:AI23,"v",E$7:AI$7,"6")+COUNTIFS(E23:AI23,"I3",E$7:AI$7,"6")/2+COUNTIFS(E23:AI23,"D1防",E$7:AI$7,"6")/2+COUNTIFS(E23:AI23,"D1台",E$7:AI$7,"6")/2+COUNTIFS(E23:AI23,"Y7",E$7:AI$7,"6")/2++COUNTIFS(E23:AI23,"H5",E$7:AI$7,"6")/2</f>
        <v>0</v>
      </c>
      <c r="B23" s="57">
        <f>COUNTIFS(E23:AI23,"/",E$7:AI$7,"日")+COUNTIFS(E23:AI23,"v",E$7:AI$7,"日")+COUNTIFS(E23:AI23,"I3",E$7:AI$7,"日")/2+COUNTIFS(E23:AI23,"D1防",E$7:AI$7,"日")/2+COUNTIFS(E23:AI23,"D1台",E$7:AI$7,"日")/2</f>
        <v>0</v>
      </c>
      <c r="C23" s="16" t="s">
        <v>19</v>
      </c>
      <c r="D23" s="9" t="s">
        <v>153</v>
      </c>
      <c r="E23" s="7" t="s">
        <v>142</v>
      </c>
      <c r="F23" s="9"/>
      <c r="G23" s="9"/>
      <c r="H23" s="9"/>
      <c r="I23" s="9"/>
      <c r="J23" s="9"/>
      <c r="K23" s="9"/>
      <c r="L23" s="9"/>
      <c r="M23" s="9" t="s">
        <v>148</v>
      </c>
      <c r="N23" s="9"/>
      <c r="O23" s="9" t="s">
        <v>166</v>
      </c>
      <c r="P23" s="9"/>
      <c r="Q23" s="9"/>
      <c r="R23" s="9" t="s">
        <v>148</v>
      </c>
      <c r="S23" s="9"/>
      <c r="T23" s="9"/>
      <c r="U23" s="9"/>
      <c r="V23" s="9"/>
      <c r="W23" s="34"/>
      <c r="X23" s="9"/>
      <c r="Y23" s="9"/>
      <c r="Z23" s="9"/>
      <c r="AA23" s="9"/>
      <c r="AB23" s="9"/>
      <c r="AC23" s="9"/>
      <c r="AD23" s="9"/>
      <c r="AE23" s="34"/>
      <c r="AF23" s="34"/>
      <c r="AG23" s="9"/>
      <c r="AH23" s="9"/>
      <c r="AI23" s="10"/>
      <c r="AJ23" s="19">
        <f>COUNTIF(E23:AI23,"/")+COUNTIF(E23:AI23,"I3")/2+COUNTIF(E23:AI23,"D1防")/2+COUNTIF(E23:AI23,"D1台")/2+COUNTIF(E23:AI23,"W7")/2+COUNTIF(E23:AI23,"H7")/2+COUNTIF(E23:AI23,"Y7")/2+COUNTIF(E23:AI23,"H5")/2+COUNTIF(E23:AI23,"門3")/2+COUNTIF(E23:AI23,"門5")/2++COUNTIF(E23:AI23,"門7")/2</f>
        <v>1</v>
      </c>
      <c r="AK23" s="20">
        <f t="shared" si="3"/>
        <v>0</v>
      </c>
      <c r="AL23" s="20">
        <f>COUNTIFS(E23:AI23,"E△",E$7:AI$7,"6")+COUNTIFS(E23:AI23,"E▲",E$7:AI$7,"6")</f>
        <v>0</v>
      </c>
      <c r="AM23" s="40">
        <f>COUNTIFS(E23:AI23,"E△",E$7:AI$7,"日")+COUNTIFS(E23:AI23,"E▲",E$7:AI$7,"日")</f>
        <v>0</v>
      </c>
      <c r="AN23" s="19">
        <f>COUNTIFS(E23:AI23,"/",E$7:AI$7,"1")+COUNTIFS(E23:AI23,"V",E$7:AI$7,"1")+COUNTIFS(E23:AI23,"公",E$7:AI$7,"1")+COUNTIFS(E23:AI23,"喪",E$7:AI$7,"1")+COUNTIFS(E23:AI23,"病",E$7:AI$7,"1")+COUNTIFS(E23:AI23,"事",E$7:AI$7,"1")+COUNTIFS(E23:AI23,"報備",E$7:AI$7,"1")</f>
        <v>0</v>
      </c>
      <c r="AO23" s="24">
        <f>COUNTIFS(E23:AI23,"/",E$7:AI$7,"2")+COUNTIFS(E23:AI23,"V",E$7:AI$7,"2")+COUNTIFS(E23:AI23,"公",E$7:AI$7,"2")+COUNTIFS(E23:AI23,"喪",E$7:AI$7,"2")+COUNTIFS(E23:AI23,"病",E$7:AI$7,"2")+COUNTIFS(E23:AI23,"事",E$7:AI$7,"2")+COUNTIFS(E23:AI23,"報備",E$7:AI$7,"2")</f>
        <v>1</v>
      </c>
      <c r="AQ23" s="25"/>
      <c r="AS23" s="25"/>
    </row>
    <row r="24" spans="1:45" ht="39.25" customHeight="1" thickBot="1">
      <c r="A24" s="23"/>
      <c r="B24" s="57"/>
      <c r="C24" s="3" t="s">
        <v>20</v>
      </c>
      <c r="D24" s="6" t="s">
        <v>163</v>
      </c>
      <c r="E24" s="7" t="s">
        <v>168</v>
      </c>
      <c r="F24" s="7"/>
      <c r="G24" s="7"/>
      <c r="H24" s="7"/>
      <c r="I24" s="7"/>
      <c r="J24" s="7"/>
      <c r="K24" s="7"/>
      <c r="L24" s="7"/>
      <c r="M24" s="7"/>
      <c r="N24" s="67" t="s">
        <v>142</v>
      </c>
      <c r="O24" s="67" t="s">
        <v>142</v>
      </c>
      <c r="P24" s="7"/>
      <c r="Q24" s="7"/>
      <c r="R24" s="7"/>
      <c r="S24" s="7"/>
      <c r="T24" s="7"/>
      <c r="U24" s="7"/>
      <c r="V24" s="7"/>
      <c r="W24" s="7"/>
      <c r="X24" s="7"/>
      <c r="Y24" s="67"/>
      <c r="Z24" s="7"/>
      <c r="AA24" s="7"/>
      <c r="AB24" s="7"/>
      <c r="AC24" s="7"/>
      <c r="AD24" s="7"/>
      <c r="AE24" s="7"/>
      <c r="AF24" s="7"/>
      <c r="AG24" s="7"/>
      <c r="AH24" s="7"/>
      <c r="AI24" s="70"/>
      <c r="AJ24" s="19">
        <f>COUNTIF(E24:AI24,"/")+COUNTIF(E24:AI24,"I3")/2+COUNTIF(E24:AI24,"D1防")/2+COUNTIF(E24:AI24,"D1台")/2+COUNTIF(E24:AI24,"W7")/2+COUNTIF(E24:AI24,"H7")/2+COUNTIF(E24:AI24,"Y7")/2+COUNTIF(E24:AI24,"H5")/2+COUNTIF(E24:AI24,"門3")/2+COUNTIF(E24:AI24,"門5")/2++COUNTIF(E24:AI24,"門7")/2</f>
        <v>2</v>
      </c>
      <c r="AK24" s="20">
        <f t="shared" si="3"/>
        <v>0</v>
      </c>
      <c r="AL24" s="20">
        <f>COUNTIFS(E24:AI24,"E△",E$7:AI$7,"6")+COUNTIFS(E24:AI24,"E▲",E$7:AI$7,"6")</f>
        <v>0</v>
      </c>
      <c r="AM24" s="40">
        <f>COUNTIFS(E24:AI24,"E△",E$7:AI$7,"日")+COUNTIFS(E24:AI24,"E▲",E$7:AI$7,"日")</f>
        <v>0</v>
      </c>
      <c r="AN24" s="19">
        <f>COUNTIFS(E24:AI24,"/",E$7:AI$7,"1")+COUNTIFS(E24:AI24,"V",E$7:AI$7,"1")+COUNTIFS(E24:AI24,"公",E$7:AI$7,"1")+COUNTIFS(E24:AI24,"喪",E$7:AI$7,"1")+COUNTIFS(E24:AI24,"病",E$7:AI$7,"1")+COUNTIFS(E24:AI24,"事",E$7:AI$7,"1")+COUNTIFS(E24:AI24,"報備",E$7:AI$7,"1")</f>
        <v>0</v>
      </c>
      <c r="AO24" s="24">
        <f>COUNTIFS(E24:AI24,"/",E$7:AI$7,"2")+COUNTIFS(E24:AI24,"V",E$7:AI$7,"2")+COUNTIFS(E24:AI24,"公",E$7:AI$7,"2")+COUNTIFS(E24:AI24,"喪",E$7:AI$7,"2")+COUNTIFS(E24:AI24,"病",E$7:AI$7,"2")+COUNTIFS(E24:AI24,"事",E$7:AI$7,"2")+COUNTIFS(E24:AI24,"報備",E$7:AI$7,"2")</f>
        <v>0</v>
      </c>
      <c r="AQ24" s="25"/>
      <c r="AS24" s="25"/>
    </row>
    <row r="25" spans="1:45" ht="39.25" customHeight="1" thickBot="1">
      <c r="A25" s="41"/>
      <c r="B25" s="42"/>
      <c r="C25" s="4" t="s">
        <v>21</v>
      </c>
      <c r="D25" s="18" t="s">
        <v>164</v>
      </c>
      <c r="E25" s="7" t="s">
        <v>142</v>
      </c>
      <c r="F25" s="11"/>
      <c r="G25" s="11"/>
      <c r="H25" s="11"/>
      <c r="I25" s="11"/>
      <c r="J25" s="11"/>
      <c r="K25" s="11"/>
      <c r="L25" s="11"/>
      <c r="M25" s="67" t="s">
        <v>142</v>
      </c>
      <c r="N25" s="67" t="s">
        <v>142</v>
      </c>
      <c r="O25" s="67" t="s">
        <v>142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2"/>
      <c r="AJ25" s="19">
        <f>COUNTIF(E25:AI25,"/")+COUNTIF(E25:AI25,"I3")/2+COUNTIF(E25:AI25,"D1防")/2+COUNTIF(E25:AI25,"D1台")/2+COUNTIF(E25:AI25,"W7")/2+COUNTIF(E25:AI25,"H7")/2+COUNTIF(E25:AI25,"Y7")/2+COUNTIF(E25:AI25,"H5")/2+COUNTIF(E25:AI25,"門3")/2+COUNTIF(E25:AI25,"門5")/2++COUNTIF(E25:AI25,"門7")/2</f>
        <v>4</v>
      </c>
      <c r="AK25" s="20">
        <f t="shared" si="3"/>
        <v>0</v>
      </c>
      <c r="AL25" s="43">
        <f>COUNTIFS(E25:AI25,"E△",E$7:AI$7,"6")+COUNTIFS(E25:AI25,"E▲",E$7:AI$7,"6")</f>
        <v>0</v>
      </c>
      <c r="AM25" s="44">
        <f>COUNTIFS(E25:AI25,"E△",E$7:AI$7,"日")+COUNTIFS(E25:AI25,"E▲",E$7:AI$7,"日")</f>
        <v>0</v>
      </c>
      <c r="AN25" s="19">
        <f>COUNTIFS(E25:AI25,"/",E$7:AI$7,"1")+COUNTIFS(E25:AI25,"V",E$7:AI$7,"1")+COUNTIFS(E25:AI25,"公",E$7:AI$7,"1")+COUNTIFS(E25:AI25,"喪",E$7:AI$7,"1")+COUNTIFS(E25:AI25,"病",E$7:AI$7,"1")+COUNTIFS(E25:AI25,"事",E$7:AI$7,"1")+COUNTIFS(E25:AI25,"報備",E$7:AI$7,"1")</f>
        <v>0</v>
      </c>
      <c r="AO25" s="24">
        <f>COUNTIFS(E25:AI25,"/",E$7:AI$7,"2")+COUNTIFS(E25:AI25,"V",E$7:AI$7,"2")+COUNTIFS(E25:AI25,"公",E$7:AI$7,"2")+COUNTIFS(E25:AI25,"喪",E$7:AI$7,"2")+COUNTIFS(E25:AI25,"病",E$7:AI$7,"2")+COUNTIFS(E25:AI25,"事",E$7:AI$7,"2")+COUNTIFS(E25:AI25,"報備",E$7:AI$7,"2")</f>
        <v>0</v>
      </c>
      <c r="AS25" s="25"/>
    </row>
    <row r="26" spans="1:45" ht="30.25" customHeight="1">
      <c r="D26" s="14" t="s">
        <v>67</v>
      </c>
      <c r="Y26" s="14" t="s">
        <v>68</v>
      </c>
      <c r="AS26" s="25"/>
    </row>
    <row r="27" spans="1:45" ht="31.75" customHeight="1">
      <c r="A27" s="88" t="s">
        <v>90</v>
      </c>
      <c r="B27" s="89"/>
      <c r="C27" s="89"/>
      <c r="D27" s="90"/>
      <c r="E27" s="34">
        <f>COUNTIF(E9:E25,"/")+COUNTIF(E9:E25,"I3")/2+COUNTIF(E9:E25,"D1防")/2+COUNTIF(E9:E25,"D1台")/2+COUNTIF(E9:E25,"W7")/2+COUNTIF(E9:E25,"H7")/2+COUNTIF(E9:E25,"Y7")/2+COUNTIF(E9:E25,"V")+COUNTIF(E9:E25,"公")+COUNTIF(E9:E25,"喪")+COUNTIF(E9:E25,"病")+COUNTIF(E9:E25,"事")</f>
        <v>12</v>
      </c>
      <c r="F27" s="34">
        <f>COUNTIF(F9:F25,"/")+COUNTIF(F9:F25,"I3")/2+COUNTIF(F9:F25,"D1防")/2+COUNTIF(F9:F25,"D1台")/2+COUNTIF(F9:F25,"W7")/2+COUNTIF(F9:F25,"H7")/2+COUNTIF(F9:F25,"Y7")/2+COUNTIF(F9:F25,"V")+COUNTIF(F9:F25,"公")+COUNTIF(F9:F25,"喪")+COUNTIF(F9:F25,"病")+COUNTIF(F9:F25,"事")</f>
        <v>0</v>
      </c>
      <c r="G27" s="34">
        <f>COUNTIF(G9:G25,"/")+COUNTIF(G9:G25,"I3")/2+COUNTIF(G9:G25,"D1防")/2+COUNTIF(G9:G25,"D1台")/2+COUNTIF(G9:G25,"W7")/2+COUNTIF(G9:G25,"H7")/2+COUNTIF(G9:G25,"Y7")/2+COUNTIF(G9:G25,"V")+COUNTIF(G9:G25,"公")+COUNTIF(G9:G25,"喪")+COUNTIF(G9:G25,"病")+COUNTIF(G9:G25,"事")</f>
        <v>0</v>
      </c>
      <c r="H27" s="34">
        <f>COUNTIF(H9:H25,"/")+COUNTIF(H9:H25,"I3")/2+COUNTIF(H9:H25,"D1防")/2+COUNTIF(H9:H25,"D1台")/2+COUNTIF(H9:H25,"W7")/2+COUNTIF(H9:H25,"H7")/2+COUNTIF(H9:H25,"Y7")/2+COUNTIF(H9:H25,"V")+COUNTIF(H9:H25,"公")+COUNTIF(H9:H25,"喪")+COUNTIF(H9:H25,"病")+COUNTIF(H9:H25,"事")</f>
        <v>4.5</v>
      </c>
      <c r="I27" s="34">
        <f>COUNTIF(I9:I25,"/")+COUNTIF(I9:I25,"I3")/2+COUNTIF(I9:I25,"D1防")/2+COUNTIF(I9:I25,"D1台")/2+COUNTIF(I9:I25,"W7")/2+COUNTIF(I9:I25,"H7")/2+COUNTIF(I9:I25,"Y7")/2+COUNTIF(I9:I25,"V")+COUNTIF(I9:I25,"公")+COUNTIF(I9:I25,"喪")+COUNTIF(I9:I25,"病")+COUNTIF(I9:I25,"事")</f>
        <v>4</v>
      </c>
      <c r="J27" s="34">
        <f>COUNTIF(J9:J25,"/")+COUNTIF(J9:J25,"I3")/2+COUNTIF(J9:J25,"D1防")/2+COUNTIF(J9:J25,"D1台")/2+COUNTIF(J9:J25,"W7")/2+COUNTIF(J9:J25,"H7")/2+COUNTIF(J9:J25,"Y7")/2+COUNTIF(J9:J25,"V")+COUNTIF(J9:J25,"公")+COUNTIF(J9:J25,"喪")+COUNTIF(J9:J25,"病")+COUNTIF(J9:J25,"事")</f>
        <v>2</v>
      </c>
      <c r="K27" s="34">
        <f>COUNTIF(K9:K25,"/")+COUNTIF(K9:K25,"I3")/2+COUNTIF(K9:K25,"D1防")/2+COUNTIF(K9:K25,"D1台")/2+COUNTIF(K9:K25,"W7")/2+COUNTIF(K9:K25,"H7")/2+COUNTIF(K9:K25,"Y7")/2+COUNTIF(K9:K25,"V")+COUNTIF(K9:K25,"公")+COUNTIF(K9:K25,"喪")+COUNTIF(K9:K25,"病")+COUNTIF(K9:K25,"事")</f>
        <v>2</v>
      </c>
      <c r="L27" s="34">
        <f>COUNTIF(L9:L25,"/")+COUNTIF(L9:L25,"I3")/2+COUNTIF(L9:L25,"D1防")/2+COUNTIF(L9:L25,"D1台")/2+COUNTIF(L9:L25,"W7")/2+COUNTIF(L9:L25,"H7")/2+COUNTIF(L9:L25,"Y7")/2+COUNTIF(L9:L25,"V")+COUNTIF(L9:L25,"公")+COUNTIF(L9:L25,"喪")+COUNTIF(L9:L25,"病")+COUNTIF(L9:L25,"事")</f>
        <v>2</v>
      </c>
      <c r="M27" s="34">
        <f>COUNTIF(M9:M25,"/")+COUNTIF(M9:M25,"I3")/2+COUNTIF(M9:M25,"D1防")/2+COUNTIF(M9:M25,"D1台")/2+COUNTIF(M9:M25,"W7")/2+COUNTIF(M9:M25,"H7")/2+COUNTIF(M9:M25,"Y7")/2+COUNTIF(M9:M25,"V")+COUNTIF(M9:M25,"公")+COUNTIF(M9:M25,"喪")+COUNTIF(M9:M25,"病")+COUNTIF(M9:M25,"事")</f>
        <v>3</v>
      </c>
      <c r="N27" s="34">
        <f>COUNTIF(N9:N25,"/")+COUNTIF(N9:N25,"I3")/2+COUNTIF(N9:N25,"D1防")/2+COUNTIF(N9:N25,"D1台")/2+COUNTIF(N9:N25,"W7")/2+COUNTIF(N9:N25,"H7")/2+COUNTIF(N9:N25,"Y7")/2+COUNTIF(N9:N25,"V")+COUNTIF(N9:N25,"公")+COUNTIF(N9:N25,"喪")+COUNTIF(N9:N25,"病")+COUNTIF(N9:N25,"事")</f>
        <v>2</v>
      </c>
      <c r="O27" s="34">
        <f>COUNTIF(O9:O25,"/")+COUNTIF(O9:O25,"I3")/2+COUNTIF(O9:O25,"D1防")/2+COUNTIF(O9:O25,"D1台")/2+COUNTIF(O9:O25,"W7")/2+COUNTIF(O9:O25,"H7")/2+COUNTIF(O9:O25,"Y7")/2+COUNTIF(O9:O25,"V")+COUNTIF(O9:O25,"公")+COUNTIF(O9:O25,"喪")+COUNTIF(O9:O25,"病")+COUNTIF(O9:O25,"事")</f>
        <v>10.5</v>
      </c>
      <c r="P27" s="34">
        <f>COUNTIF(P9:P25,"/")+COUNTIF(P9:P25,"I3")/2+COUNTIF(P9:P25,"D1防")/2+COUNTIF(P9:P25,"D1台")/2+COUNTIF(P9:P25,"W7")/2+COUNTIF(P9:P25,"H7")/2+COUNTIF(P9:P25,"Y7")/2+COUNTIF(P9:P25,"V")+COUNTIF(P9:P25,"公")+COUNTIF(P9:P25,"喪")+COUNTIF(P9:P25,"病")+COUNTIF(P9:P25,"事")</f>
        <v>2</v>
      </c>
      <c r="Q27" s="34">
        <f>COUNTIF(Q9:Q25,"/")+COUNTIF(Q9:Q25,"I3")/2+COUNTIF(Q9:Q25,"D1防")/2+COUNTIF(Q9:Q25,"D1台")/2+COUNTIF(Q9:Q25,"W7")/2+COUNTIF(Q9:Q25,"H7")/2+COUNTIF(Q9:Q25,"Y7")/2+COUNTIF(Q9:Q25,"V")+COUNTIF(Q9:Q25,"公")+COUNTIF(Q9:Q25,"喪")+COUNTIF(Q9:Q25,"病")+COUNTIF(Q9:Q25,"事")</f>
        <v>1</v>
      </c>
      <c r="R27" s="34">
        <f>COUNTIF(R9:R25,"/")+COUNTIF(R9:R25,"I3")/2+COUNTIF(R9:R25,"D1防")/2+COUNTIF(R9:R25,"D1台")/2+COUNTIF(R9:R25,"W7")/2+COUNTIF(R9:R25,"H7")/2+COUNTIF(R9:R25,"Y7")/2+COUNTIF(R9:R25,"V")+COUNTIF(R9:R25,"公")+COUNTIF(R9:R25,"喪")+COUNTIF(R9:R25,"病")+COUNTIF(R9:R25,"事")</f>
        <v>2</v>
      </c>
      <c r="S27" s="34">
        <f>COUNTIF(S9:S25,"/")+COUNTIF(S9:S25,"I3")/2+COUNTIF(S9:S25,"D1防")/2+COUNTIF(S9:S25,"D1台")/2+COUNTIF(S9:S25,"W7")/2+COUNTIF(S9:S25,"H7")/2+COUNTIF(S9:S25,"Y7")/2+COUNTIF(S9:S25,"V")+COUNTIF(S9:S25,"公")+COUNTIF(S9:S25,"喪")+COUNTIF(S9:S25,"病")+COUNTIF(S9:S25,"事")</f>
        <v>2</v>
      </c>
      <c r="T27" s="34">
        <f>COUNTIF(T9:T25,"/")+COUNTIF(T9:T25,"I3")/2+COUNTIF(T9:T25,"D1防")/2+COUNTIF(T9:T25,"D1台")/2+COUNTIF(T9:T25,"W7")/2+COUNTIF(T9:T25,"H7")/2+COUNTIF(T9:T25,"Y7")/2+COUNTIF(T9:T25,"V")+COUNTIF(T9:T25,"公")+COUNTIF(T9:T25,"喪")+COUNTIF(T9:T25,"病")+COUNTIF(T9:T25,"事")</f>
        <v>0</v>
      </c>
      <c r="U27" s="34">
        <f>COUNTIF(U9:U25,"/")+COUNTIF(U9:U25,"I3")/2+COUNTIF(U9:U25,"D1防")/2+COUNTIF(U9:U25,"D1台")/2+COUNTIF(U9:U25,"W7")/2+COUNTIF(U9:U25,"H7")/2+COUNTIF(U9:U25,"Y7")/2+COUNTIF(U9:U25,"V")+COUNTIF(U9:U25,"公")+COUNTIF(U9:U25,"喪")+COUNTIF(U9:U25,"病")+COUNTIF(U9:U25,"事")</f>
        <v>2</v>
      </c>
      <c r="V27" s="34">
        <f>COUNTIF(V9:V25,"/")+COUNTIF(V9:V25,"I3")/2+COUNTIF(V9:V25,"D1防")/2+COUNTIF(V9:V25,"D1台")/2+COUNTIF(V9:V25,"W7")/2+COUNTIF(V9:V25,"H7")/2+COUNTIF(V9:V25,"Y7")/2+COUNTIF(V9:V25,"V")+COUNTIF(V9:V25,"公")+COUNTIF(V9:V25,"喪")+COUNTIF(V9:V25,"病")+COUNTIF(V9:V25,"事")</f>
        <v>3.5</v>
      </c>
      <c r="W27" s="34">
        <f>COUNTIF(W9:W25,"/")+COUNTIF(W9:W25,"I3")/2+COUNTIF(W9:W25,"D1防")/2+COUNTIF(W9:W25,"D1台")/2+COUNTIF(W9:W25,"W7")/2+COUNTIF(W9:W25,"H7")/2+COUNTIF(W9:W25,"Y7")/2+COUNTIF(W9:W25,"V")+COUNTIF(W9:W25,"公")+COUNTIF(W9:W25,"喪")+COUNTIF(W9:W25,"病")+COUNTIF(W9:W25,"事")</f>
        <v>3</v>
      </c>
      <c r="X27" s="34">
        <f>COUNTIF(X9:X25,"/")+COUNTIF(X9:X25,"I3")/2+COUNTIF(X9:X25,"D1防")/2+COUNTIF(X9:X25,"D1台")/2+COUNTIF(X9:X25,"W7")/2+COUNTIF(X9:X25,"H7")/2+COUNTIF(X9:X25,"Y7")/2+COUNTIF(X9:X25,"V")+COUNTIF(X9:X25,"公")+COUNTIF(X9:X25,"喪")+COUNTIF(X9:X25,"病")+COUNTIF(X9:X25,"事")</f>
        <v>2</v>
      </c>
      <c r="Y27" s="34">
        <f>COUNTIF(Y9:Y25,"/")+COUNTIF(Y9:Y25,"I3")/2+COUNTIF(Y9:Y25,"D1防")/2+COUNTIF(Y9:Y25,"D1台")/2+COUNTIF(Y9:Y25,"W7")/2+COUNTIF(Y9:Y25,"H7")/2+COUNTIF(Y9:Y25,"Y7")/2+COUNTIF(Y9:Y25,"V")+COUNTIF(Y9:Y25,"公")+COUNTIF(Y9:Y25,"喪")+COUNTIF(Y9:Y25,"病")+COUNTIF(Y9:Y25,"事")</f>
        <v>2</v>
      </c>
      <c r="Z27" s="34">
        <f>COUNTIF(Z9:Z25,"/")+COUNTIF(Z9:Z25,"I3")/2+COUNTIF(Z9:Z25,"D1防")/2+COUNTIF(Z9:Z25,"D1台")/2+COUNTIF(Z9:Z25,"W7")/2+COUNTIF(Z9:Z25,"H7")/2+COUNTIF(Z9:Z25,"Y7")/2+COUNTIF(Z9:Z25,"V")+COUNTIF(Z9:Z25,"公")+COUNTIF(Z9:Z25,"喪")+COUNTIF(Z9:Z25,"病")+COUNTIF(Z9:Z25,"事")</f>
        <v>0</v>
      </c>
      <c r="AA27" s="34">
        <f>COUNTIF(AA9:AA25,"/")+COUNTIF(AA9:AA25,"I3")/2+COUNTIF(AA9:AA25,"D1防")/2+COUNTIF(AA9:AA25,"D1台")/2+COUNTIF(AA9:AA25,"W7")/2+COUNTIF(AA9:AA25,"H7")/2+COUNTIF(AA9:AA25,"Y7")/2+COUNTIF(AA9:AA25,"V")+COUNTIF(AA9:AA25,"公")+COUNTIF(AA9:AA25,"喪")+COUNTIF(AA9:AA25,"病")+COUNTIF(AA9:AA25,"事")</f>
        <v>0</v>
      </c>
      <c r="AB27" s="34">
        <f>COUNTIF(AB9:AB25,"/")+COUNTIF(AB9:AB25,"I3")/2+COUNTIF(AB9:AB25,"D1防")/2+COUNTIF(AB9:AB25,"D1台")/2+COUNTIF(AB9:AB25,"W7")/2+COUNTIF(AB9:AB25,"H7")/2+COUNTIF(AB9:AB25,"Y7")/2+COUNTIF(AB9:AB25,"V")+COUNTIF(AB9:AB25,"公")+COUNTIF(AB9:AB25,"喪")+COUNTIF(AB9:AB25,"病")+COUNTIF(AB9:AB25,"事")</f>
        <v>0</v>
      </c>
      <c r="AC27" s="34">
        <f>COUNTIF(AC9:AC25,"/")+COUNTIF(AC9:AC25,"I3")/2+COUNTIF(AC9:AC25,"D1防")/2+COUNTIF(AC9:AC25,"D1台")/2+COUNTIF(AC9:AC25,"W7")/2+COUNTIF(AC9:AC25,"H7")/2+COUNTIF(AC9:AC25,"Y7")/2+COUNTIF(AC9:AC25,"V")+COUNTIF(AC9:AC25,"公")+COUNTIF(AC9:AC25,"喪")+COUNTIF(AC9:AC25,"病")+COUNTIF(AC9:AC25,"事")</f>
        <v>2.5</v>
      </c>
      <c r="AD27" s="34">
        <f>COUNTIF(AD9:AD25,"/")+COUNTIF(AD9:AD25,"I3")/2+COUNTIF(AD9:AD25,"D1防")/2+COUNTIF(AD9:AD25,"D1台")/2+COUNTIF(AD9:AD25,"W7")/2+COUNTIF(AD9:AD25,"H7")/2+COUNTIF(AD9:AD25,"Y7")/2+COUNTIF(AD9:AD25,"V")+COUNTIF(AD9:AD25,"公")+COUNTIF(AD9:AD25,"喪")+COUNTIF(AD9:AD25,"病")+COUNTIF(AD9:AD25,"事")</f>
        <v>2</v>
      </c>
      <c r="AE27" s="34">
        <f>COUNTIF(AE9:AE25,"/")+COUNTIF(AE9:AE25,"I3")/2+COUNTIF(AE9:AE25,"D1防")/2+COUNTIF(AE9:AE25,"D1台")/2+COUNTIF(AE9:AE25,"W7")/2+COUNTIF(AE9:AE25,"H7")/2+COUNTIF(AE9:AE25,"Y7")/2+COUNTIF(AE9:AE25,"V")+COUNTIF(AE9:AE25,"公")+COUNTIF(AE9:AE25,"喪")+COUNTIF(AE9:AE25,"病")+COUNTIF(AE9:AE25,"事")</f>
        <v>0</v>
      </c>
      <c r="AF27" s="34">
        <f>COUNTIF(AF9:AF25,"/")+COUNTIF(AF9:AF25,"I3")/2+COUNTIF(AF9:AF25,"D1防")/2+COUNTIF(AF9:AF25,"D1台")/2+COUNTIF(AF9:AF25,"W7")/2+COUNTIF(AF9:AF25,"H7")/2+COUNTIF(AF9:AF25,"Y7")/2+COUNTIF(AF9:AF25,"V")+COUNTIF(AF9:AF25,"公")+COUNTIF(AF9:AF25,"喪")+COUNTIF(AF9:AF25,"病")+COUNTIF(AF9:AF25,"事")</f>
        <v>3</v>
      </c>
      <c r="AG27" s="34">
        <f>COUNTIF(AG9:AG25,"/")+COUNTIF(AG9:AG25,"I3")/2+COUNTIF(AG9:AG25,"D1防")/2+COUNTIF(AG9:AG25,"D1台")/2+COUNTIF(AG9:AG25,"W7")/2+COUNTIF(AG9:AG25,"H7")/2+COUNTIF(AG9:AG25,"Y7")/2+COUNTIF(AG9:AG25,"V")+COUNTIF(AG9:AG25,"公")+COUNTIF(AG9:AG25,"喪")+COUNTIF(AG9:AG25,"病")+COUNTIF(AG9:AG25,"事")</f>
        <v>3</v>
      </c>
      <c r="AH27" s="34">
        <f>COUNTIF(AH9:AH25,"/")+COUNTIF(AH9:AH25,"I3")/2+COUNTIF(AH9:AH25,"D1防")/2+COUNTIF(AH9:AH25,"D1台")/2+COUNTIF(AH9:AH25,"W7")/2+COUNTIF(AH9:AH25,"H7")/2+COUNTIF(AH9:AH25,"Y7")/2+COUNTIF(AH9:AH25,"V")+COUNTIF(AH9:AH25,"公")+COUNTIF(AH9:AH25,"喪")+COUNTIF(AH9:AH25,"病")+COUNTIF(AH9:AH25,"事")</f>
        <v>2</v>
      </c>
      <c r="AI27" s="34">
        <f>COUNTIF(AI9:AI25,"/")+COUNTIF(AI9:AI25,"I3")/2+COUNTIF(AI9:AI25,"D1防")/2+COUNTIF(AI9:AI25,"D1台")/2+COUNTIF(AI9:AI25,"W7")/2+COUNTIF(AI9:AI25,"H7")/2+COUNTIF(AI9:AI25,"Y7")/2+COUNTIF(AI9:AI25,"V")+COUNTIF(AI9:AI25,"公")+COUNTIF(AI9:AI25,"喪")+COUNTIF(AI9:AI25,"病")+COUNTIF(AI9:AI25,"事")</f>
        <v>1</v>
      </c>
      <c r="AJ27" s="100"/>
      <c r="AK27" s="80"/>
      <c r="AL27" s="80"/>
      <c r="AM27" s="80"/>
      <c r="AN27" s="80"/>
      <c r="AO27" s="80"/>
      <c r="AS27" s="25"/>
    </row>
    <row r="28" spans="1:45" ht="31.75" customHeight="1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80"/>
      <c r="AK28" s="80"/>
      <c r="AL28" s="80"/>
      <c r="AM28" s="80"/>
      <c r="AN28" s="80"/>
      <c r="AO28" s="80"/>
      <c r="AS28" s="25"/>
    </row>
    <row r="29" spans="1:45" ht="31.75" customHeight="1">
      <c r="E29" s="32"/>
      <c r="AJ29" s="80"/>
      <c r="AK29" s="80"/>
      <c r="AL29" s="80"/>
      <c r="AM29" s="80"/>
      <c r="AN29" s="80"/>
      <c r="AO29" s="80"/>
      <c r="AS29" s="25"/>
    </row>
    <row r="30" spans="1:45" ht="31.75" customHeight="1">
      <c r="AJ30" s="80"/>
      <c r="AK30" s="80"/>
      <c r="AL30" s="80"/>
      <c r="AM30" s="80"/>
      <c r="AN30" s="80"/>
      <c r="AO30" s="80"/>
    </row>
    <row r="31" spans="1:45" ht="31.75" customHeight="1">
      <c r="AJ31" s="80"/>
      <c r="AK31" s="80"/>
      <c r="AL31" s="80"/>
      <c r="AM31" s="80"/>
      <c r="AN31" s="80"/>
      <c r="AO31" s="80"/>
    </row>
    <row r="32" spans="1:45" ht="31.75" customHeight="1">
      <c r="AJ32" s="81"/>
      <c r="AK32" s="81"/>
      <c r="AL32" s="81"/>
      <c r="AM32" s="81"/>
      <c r="AN32" s="81"/>
      <c r="AO32" s="81"/>
    </row>
    <row r="33" spans="36:41">
      <c r="AJ33" s="45"/>
      <c r="AK33" s="45"/>
      <c r="AL33" s="45"/>
      <c r="AM33" s="45"/>
      <c r="AN33" s="45"/>
      <c r="AO33" s="45"/>
    </row>
    <row r="34" spans="36:41">
      <c r="AJ34" s="45"/>
      <c r="AK34" s="45"/>
      <c r="AL34" s="45"/>
      <c r="AM34" s="45"/>
      <c r="AN34" s="45"/>
      <c r="AO34" s="45"/>
    </row>
    <row r="35" spans="36:41">
      <c r="AJ35" s="45"/>
      <c r="AK35" s="45"/>
      <c r="AL35" s="45"/>
      <c r="AM35" s="45"/>
      <c r="AN35" s="45"/>
      <c r="AO35" s="45"/>
    </row>
  </sheetData>
  <mergeCells count="22">
    <mergeCell ref="A2:AM2"/>
    <mergeCell ref="A5:B5"/>
    <mergeCell ref="J5:K5"/>
    <mergeCell ref="A3:D3"/>
    <mergeCell ref="A27:D27"/>
    <mergeCell ref="AM6:AM7"/>
    <mergeCell ref="A6:A7"/>
    <mergeCell ref="B6:B7"/>
    <mergeCell ref="C6:C7"/>
    <mergeCell ref="AJ6:AJ7"/>
    <mergeCell ref="AK6:AK7"/>
    <mergeCell ref="AL6:AL7"/>
    <mergeCell ref="AJ27:AO27"/>
    <mergeCell ref="M4:O4"/>
    <mergeCell ref="AJ30:AO30"/>
    <mergeCell ref="AJ31:AO31"/>
    <mergeCell ref="AJ32:AO32"/>
    <mergeCell ref="F5:G5"/>
    <mergeCell ref="AN6:AN7"/>
    <mergeCell ref="AO6:AO7"/>
    <mergeCell ref="AJ28:AO28"/>
    <mergeCell ref="AJ29:AO29"/>
  </mergeCells>
  <phoneticPr fontId="1" type="noConversion"/>
  <conditionalFormatting sqref="E6:AM25">
    <cfRule type="expression" dxfId="2670" priority="3724">
      <formula>WEEKDAY(E$6,2)&gt;5</formula>
    </cfRule>
  </conditionalFormatting>
  <conditionalFormatting sqref="AJ25:AK25 AJ8:AJ25">
    <cfRule type="expression" priority="3718">
      <formula>SUMIF($E$8:$AI$8,"/",$E$8:$AI$8)</formula>
    </cfRule>
    <cfRule type="expression" priority="3720">
      <formula>SUMIF($E$8:$AI$8,"/")</formula>
    </cfRule>
    <cfRule type="expression" priority="3721">
      <formula>SUMIF($E$8:$AI$8,"/")</formula>
    </cfRule>
  </conditionalFormatting>
  <conditionalFormatting sqref="E28:AI28">
    <cfRule type="expression" priority="3725">
      <formula>IF(AND(#REF!="日",E27:AI27=13),"Y","N")</formula>
    </cfRule>
  </conditionalFormatting>
  <conditionalFormatting sqref="F13:AI13">
    <cfRule type="expression" dxfId="3604" priority="2658">
      <formula>AND(E13="E△",F13="P5")</formula>
    </cfRule>
    <cfRule type="expression" dxfId="3603" priority="2659">
      <formula>AND(E13="E▲",F13="P5")</formula>
    </cfRule>
    <cfRule type="expression" dxfId="3602" priority="2660">
      <formula>AND(E13="E6",F13="P5")</formula>
    </cfRule>
    <cfRule type="expression" dxfId="3601" priority="2661">
      <formula>AND(E13="W7",F13="P5")</formula>
    </cfRule>
    <cfRule type="expression" dxfId="3600" priority="2729">
      <formula>AND(E13="W7",F13="D1☆")</formula>
    </cfRule>
    <cfRule type="expression" dxfId="3599" priority="2730">
      <formula>AND(E13="E6",F13="D1☆")</formula>
    </cfRule>
    <cfRule type="expression" dxfId="3598" priority="2731">
      <formula>AND(E13="E△",F13="D1☆")</formula>
    </cfRule>
    <cfRule type="expression" dxfId="3597" priority="2732">
      <formula>AND(E13="E▲",F13="D1☆")</formula>
    </cfRule>
    <cfRule type="expression" dxfId="3596" priority="3626">
      <formula>AND(E13="E▲",F13="A3")</formula>
    </cfRule>
    <cfRule type="expression" dxfId="3595" priority="3627">
      <formula>AND(E13="E▲",F13="I3")</formula>
    </cfRule>
    <cfRule type="expression" dxfId="3594" priority="3628">
      <formula>AND(E13="E▲",F13="D6")</formula>
    </cfRule>
    <cfRule type="expression" dxfId="3593" priority="3629">
      <formula>AND(E13="E▲",F13="D7")</formula>
    </cfRule>
    <cfRule type="expression" dxfId="3592" priority="3630">
      <formula>AND(E13="E▲",F13="D△")</formula>
    </cfRule>
    <cfRule type="expression" dxfId="3591" priority="3631">
      <formula>AND(E13="E▲",F13="D▲")</formula>
    </cfRule>
    <cfRule type="expression" dxfId="3590" priority="3632">
      <formula>AND(E13="E▲",F13="CO☆")</formula>
    </cfRule>
    <cfRule type="expression" dxfId="3589" priority="3634">
      <formula>AND(E13="E▲",F13="H5")</formula>
    </cfRule>
    <cfRule type="expression" dxfId="3588" priority="3635">
      <formula>AND(E13="E▲",F13="M5")</formula>
    </cfRule>
    <cfRule type="expression" dxfId="3587" priority="3636">
      <formula>AND(E13="E▲",F13="T台")</formula>
    </cfRule>
    <cfRule type="expression" dxfId="3586" priority="3637">
      <formula>AND(E13="E▲",F13="CO台")</formula>
    </cfRule>
    <cfRule type="expression" dxfId="3585" priority="3638">
      <formula>AND(E13="E▲",F13="D1台")</formula>
    </cfRule>
    <cfRule type="expression" dxfId="3584" priority="3639">
      <formula>AND(E13="E▲",F13="Y7")</formula>
    </cfRule>
    <cfRule type="expression" dxfId="3583" priority="3640">
      <formula>AND(E13="E▲",F13="Co辦")</formula>
    </cfRule>
    <cfRule type="expression" dxfId="3582" priority="3641">
      <formula>AND(E13="E△",F13="A3")</formula>
    </cfRule>
    <cfRule type="expression" dxfId="3581" priority="3642">
      <formula>AND(E13="E△",F13="I3")</formula>
    </cfRule>
    <cfRule type="expression" dxfId="3580" priority="3643">
      <formula>AND(E13="E△",F13="D6")</formula>
    </cfRule>
    <cfRule type="expression" dxfId="3579" priority="3644">
      <formula>AND(E13="E△",F13="D7")</formula>
    </cfRule>
    <cfRule type="expression" dxfId="3578" priority="3645">
      <formula>AND(E13="E△",F13="D△")</formula>
    </cfRule>
    <cfRule type="expression" dxfId="3577" priority="3646">
      <formula>AND(E13="E△",F13="D▲")</formula>
    </cfRule>
    <cfRule type="expression" dxfId="3576" priority="3647">
      <formula>AND(E13="E△",F13="CO☆")</formula>
    </cfRule>
    <cfRule type="expression" dxfId="3575" priority="3649">
      <formula>AND(E13="E△",F13="H5")</formula>
    </cfRule>
    <cfRule type="expression" dxfId="3574" priority="3650">
      <formula>AND(E13="E△",F13="M5")</formula>
    </cfRule>
    <cfRule type="expression" dxfId="3573" priority="3651">
      <formula>AND(E13="E△",F13="T台")</formula>
    </cfRule>
    <cfRule type="expression" dxfId="3572" priority="3652">
      <formula>AND(E13="E△",F13="CO台")</formula>
    </cfRule>
    <cfRule type="expression" dxfId="3571" priority="3653">
      <formula>AND(E13="E△",F13="D1台")</formula>
    </cfRule>
    <cfRule type="expression" dxfId="3570" priority="3654">
      <formula>AND(E13="E△",F13="Y7")</formula>
    </cfRule>
    <cfRule type="expression" dxfId="3569" priority="3655">
      <formula>AND(E13="E△",F13="Co辦")</formula>
    </cfRule>
    <cfRule type="expression" dxfId="3568" priority="3656">
      <formula>AND(E13="E6",F13="A3")</formula>
    </cfRule>
    <cfRule type="expression" dxfId="3567" priority="3657">
      <formula>AND(E13="E6",F13="I3")</formula>
    </cfRule>
    <cfRule type="expression" dxfId="3566" priority="3658">
      <formula>AND(E13="E6",F13="D6")</formula>
    </cfRule>
    <cfRule type="expression" dxfId="3565" priority="3659">
      <formula>AND(E13="E6",F13="D7")</formula>
    </cfRule>
    <cfRule type="expression" dxfId="3564" priority="3660">
      <formula>AND(E13="E6",F13="D△")</formula>
    </cfRule>
    <cfRule type="expression" dxfId="3563" priority="3661">
      <formula>AND(E13="E6",F13="D▲")</formula>
    </cfRule>
    <cfRule type="expression" dxfId="3562" priority="3662">
      <formula>AND(E13="E6",F13="CO☆")</formula>
    </cfRule>
    <cfRule type="expression" dxfId="3561" priority="3664">
      <formula>AND(E13="E6",F13="H5")</formula>
    </cfRule>
    <cfRule type="expression" dxfId="3560" priority="3665">
      <formula>AND(E13="E6",F13="M5")</formula>
    </cfRule>
    <cfRule type="expression" dxfId="3559" priority="3666">
      <formula>AND(E13="E6",F13="T台")</formula>
    </cfRule>
    <cfRule type="expression" dxfId="3558" priority="3667">
      <formula>AND(E13="E6",F13="CO台")</formula>
    </cfRule>
    <cfRule type="expression" dxfId="3557" priority="3668">
      <formula>AND(E13="E6",F13="D1台")</formula>
    </cfRule>
    <cfRule type="expression" dxfId="3556" priority="3669">
      <formula>AND(E13="E6",F13="Y7")</formula>
    </cfRule>
    <cfRule type="expression" dxfId="3555" priority="3670">
      <formula>AND(E13="E6",F13="Co辦")</formula>
    </cfRule>
    <cfRule type="expression" dxfId="3554" priority="3671">
      <formula>AND(E13="W7",F13="Co辦")</formula>
    </cfRule>
    <cfRule type="expression" dxfId="3553" priority="3672">
      <formula>AND(E13="W7",F13="Y7")</formula>
    </cfRule>
    <cfRule type="expression" dxfId="3552" priority="3673">
      <formula>AND(E13="W7",F13="D1台")</formula>
    </cfRule>
    <cfRule type="expression" dxfId="3551" priority="3674">
      <formula>AND(E13="W7",F13="CO台")</formula>
    </cfRule>
    <cfRule type="expression" dxfId="3550" priority="3675">
      <formula>AND(E13="W7",F13="T台")</formula>
    </cfRule>
    <cfRule type="expression" dxfId="3549" priority="3676">
      <formula>AND(E13="W7",F13="M5")</formula>
    </cfRule>
    <cfRule type="expression" dxfId="3548" priority="3677">
      <formula>AND(E13="W7",F13="H5")</formula>
    </cfRule>
    <cfRule type="expression" dxfId="3547" priority="3679">
      <formula>AND(E13="W7",F13="CO☆")</formula>
    </cfRule>
    <cfRule type="expression" dxfId="3546" priority="3680">
      <formula>AND(E13="W7",F13="D▲")</formula>
    </cfRule>
    <cfRule type="expression" dxfId="3545" priority="3681">
      <formula>AND(E13="W7",F13="D△")</formula>
    </cfRule>
    <cfRule type="expression" dxfId="3544" priority="3682">
      <formula>AND(E13="W7",F13="D7")</formula>
    </cfRule>
    <cfRule type="expression" dxfId="3543" priority="3706">
      <formula>AND(E13="W7",F13="D6")</formula>
    </cfRule>
  </conditionalFormatting>
  <conditionalFormatting sqref="F14:AI14">
    <cfRule type="expression" dxfId="3542" priority="2654">
      <formula>AND(E14="E▲",F14="P5")</formula>
    </cfRule>
    <cfRule type="expression" dxfId="3541" priority="2655">
      <formula>AND(E14="E△",F14="P5")</formula>
    </cfRule>
    <cfRule type="expression" dxfId="3540" priority="2656">
      <formula>AND(E14="E6",F14="P5")</formula>
    </cfRule>
    <cfRule type="expression" dxfId="3539" priority="2657">
      <formula>AND(E14="W7",F14="P5")</formula>
    </cfRule>
    <cfRule type="expression" dxfId="3538" priority="2725">
      <formula>AND(E14="W7",F14="D1☆")</formula>
    </cfRule>
    <cfRule type="expression" dxfId="3537" priority="2726">
      <formula>AND(E14="E6",F14="D1☆")</formula>
    </cfRule>
    <cfRule type="expression" dxfId="3536" priority="2727">
      <formula>AND(E14="E△",F14="D1☆")</formula>
    </cfRule>
    <cfRule type="expression" dxfId="3535" priority="2728">
      <formula>AND(E14="E▲",F14="D1☆")</formula>
    </cfRule>
    <cfRule type="expression" dxfId="3534" priority="3565">
      <formula>AND(E14="E▲",F14="A3")</formula>
    </cfRule>
    <cfRule type="expression" dxfId="3533" priority="3566">
      <formula>AND(E14="E▲",F14="I3")</formula>
    </cfRule>
    <cfRule type="expression" dxfId="3532" priority="3567">
      <formula>AND(E14="E▲",F14="D6")</formula>
    </cfRule>
    <cfRule type="expression" dxfId="3531" priority="3568">
      <formula>AND(E14="E▲",F14="D7")</formula>
    </cfRule>
    <cfRule type="expression" dxfId="3530" priority="3569">
      <formula>AND(E14="E▲",F14="D△")</formula>
    </cfRule>
    <cfRule type="expression" dxfId="3529" priority="3570">
      <formula>AND(E14="E▲",F14="D▲")</formula>
    </cfRule>
    <cfRule type="expression" dxfId="3528" priority="3571">
      <formula>AND(E14="E▲",F14="CO☆")</formula>
    </cfRule>
    <cfRule type="expression" dxfId="3527" priority="3573">
      <formula>AND(E14="E▲",F14="H5")</formula>
    </cfRule>
    <cfRule type="expression" dxfId="3526" priority="3574">
      <formula>AND(E14="E▲",F14="M5")</formula>
    </cfRule>
    <cfRule type="expression" dxfId="3525" priority="3575">
      <formula>AND(E14="E▲",F14="T台")</formula>
    </cfRule>
    <cfRule type="expression" dxfId="3524" priority="3576">
      <formula>AND(E14="E▲",F14="M台")</formula>
    </cfRule>
    <cfRule type="expression" dxfId="3523" priority="3577">
      <formula>AND(E14="E▲",F14="D1台")</formula>
    </cfRule>
    <cfRule type="expression" dxfId="3522" priority="3578">
      <formula>AND(E14="E▲",F14="Y7")</formula>
    </cfRule>
    <cfRule type="expression" dxfId="3521" priority="3579">
      <formula>AND(E14="E▲",F14="Co辦")</formula>
    </cfRule>
    <cfRule type="expression" dxfId="3520" priority="3580">
      <formula>AND(E14="E△",F14="A3")</formula>
    </cfRule>
    <cfRule type="expression" dxfId="3519" priority="3581">
      <formula>AND(E14="E△",F14="I3")</formula>
    </cfRule>
    <cfRule type="expression" dxfId="3518" priority="3582">
      <formula>AND(E14="E△",F14="D6")</formula>
    </cfRule>
    <cfRule type="expression" dxfId="3517" priority="3583">
      <formula>AND(E14="E△",F14="D7")</formula>
    </cfRule>
    <cfRule type="expression" dxfId="3516" priority="3584">
      <formula>AND(E14="E△",F14="D△")</formula>
    </cfRule>
    <cfRule type="expression" dxfId="3515" priority="3585">
      <formula>AND(E14="E△",F14="D▲")</formula>
    </cfRule>
    <cfRule type="expression" dxfId="3514" priority="3586">
      <formula>AND(E14="E△",F14="CO☆")</formula>
    </cfRule>
    <cfRule type="expression" dxfId="3513" priority="3588">
      <formula>AND(E14="E△",F14="H5")</formula>
    </cfRule>
    <cfRule type="expression" dxfId="3512" priority="3589">
      <formula>AND(E14="E△",F14="M5")</formula>
    </cfRule>
    <cfRule type="expression" dxfId="3511" priority="3590">
      <formula>AND(E14="E△",F14="T台")</formula>
    </cfRule>
    <cfRule type="expression" dxfId="3510" priority="3591">
      <formula>AND(E14="E△",F14="M台")</formula>
    </cfRule>
    <cfRule type="expression" dxfId="3509" priority="3592">
      <formula>AND(E14="E△",F14="D1台")</formula>
    </cfRule>
    <cfRule type="expression" dxfId="3508" priority="3593">
      <formula>AND(E14="E△",F14="Y7")</formula>
    </cfRule>
    <cfRule type="expression" dxfId="3507" priority="3594">
      <formula>AND(E14="E△",F14="Co辦")</formula>
    </cfRule>
    <cfRule type="expression" dxfId="3506" priority="3596">
      <formula>AND(E14="E6",F14="A3")</formula>
    </cfRule>
    <cfRule type="expression" dxfId="3505" priority="3597">
      <formula>AND(E14="E6",F14="I3")</formula>
    </cfRule>
    <cfRule type="expression" dxfId="3504" priority="3598">
      <formula>AND(E14="E6",F14="D6")</formula>
    </cfRule>
    <cfRule type="expression" dxfId="3503" priority="3599">
      <formula>AND(E14="E6",F14="D7")</formula>
    </cfRule>
    <cfRule type="expression" dxfId="3502" priority="3600">
      <formula>AND(E14="E6",F14="D△")</formula>
    </cfRule>
    <cfRule type="expression" dxfId="3501" priority="3601">
      <formula>AND(E14="E6",F14="D▲")</formula>
    </cfRule>
    <cfRule type="expression" dxfId="3500" priority="3602">
      <formula>AND(E14="E6",F14="CO☆")</formula>
    </cfRule>
    <cfRule type="expression" dxfId="3499" priority="3604">
      <formula>AND(E14="E6",F14="H5")</formula>
    </cfRule>
    <cfRule type="expression" dxfId="3498" priority="3605">
      <formula>AND(E14="E6",F14="M5")</formula>
    </cfRule>
    <cfRule type="expression" dxfId="3497" priority="3606">
      <formula>AND(E14="E6",F14="T台")</formula>
    </cfRule>
    <cfRule type="expression" dxfId="3496" priority="3607">
      <formula>AND(E14="E6",F14="M台")</formula>
    </cfRule>
    <cfRule type="expression" dxfId="3495" priority="3608">
      <formula>AND(E14="E6",F14="D1台")</formula>
    </cfRule>
    <cfRule type="expression" dxfId="3494" priority="3609">
      <formula>AND(E14="E6",F14="Y7")</formula>
    </cfRule>
    <cfRule type="expression" dxfId="3493" priority="3610">
      <formula>AND(E14="E6",F14="Co辦")</formula>
    </cfRule>
    <cfRule type="expression" dxfId="3492" priority="3611">
      <formula>AND(E14="W7",F14="Co辦")</formula>
    </cfRule>
    <cfRule type="expression" dxfId="3491" priority="3612">
      <formula>AND(E14="W7",F14="Y7")</formula>
    </cfRule>
    <cfRule type="expression" dxfId="3490" priority="3613">
      <formula>AND(E14="W7",F14="D1台")</formula>
    </cfRule>
    <cfRule type="expression" dxfId="3489" priority="3614">
      <formula>AND(E14="W7",F14="M台")</formula>
    </cfRule>
    <cfRule type="expression" dxfId="3488" priority="3615">
      <formula>AND(E14="W7",F14="T台")</formula>
    </cfRule>
    <cfRule type="expression" dxfId="3487" priority="3616">
      <formula>AND(E14="W7",F14="M5")</formula>
    </cfRule>
    <cfRule type="expression" dxfId="3486" priority="3617">
      <formula>AND(E14="W7",F14="H5")</formula>
    </cfRule>
    <cfRule type="expression" dxfId="3485" priority="3619">
      <formula>AND(E14="W7",F14="CO☆")</formula>
    </cfRule>
    <cfRule type="expression" dxfId="3484" priority="3620">
      <formula>AND(E14="W7",F14="D▲")</formula>
    </cfRule>
    <cfRule type="expression" dxfId="3483" priority="3621">
      <formula>AND(E14="W7",F14="D△")</formula>
    </cfRule>
    <cfRule type="expression" dxfId="3482" priority="3623">
      <formula>AND(E14="W7",F14="D7")</formula>
    </cfRule>
    <cfRule type="expression" dxfId="3481" priority="3625">
      <formula>AND(E14="W7",F14="D6")</formula>
    </cfRule>
  </conditionalFormatting>
  <conditionalFormatting sqref="F15:AI15">
    <cfRule type="expression" dxfId="3480" priority="2650">
      <formula>AND(E15="W7",F15="P5")</formula>
    </cfRule>
    <cfRule type="expression" dxfId="3479" priority="2651">
      <formula>AND(E15="E6",F15="P5")</formula>
    </cfRule>
    <cfRule type="expression" dxfId="3478" priority="2652">
      <formula>AND(E15="E△",F15="P5")</formula>
    </cfRule>
    <cfRule type="expression" dxfId="3477" priority="2653">
      <formula>AND(E15="E▲",F15="P5")</formula>
    </cfRule>
    <cfRule type="expression" dxfId="3476" priority="2721">
      <formula>AND(E15="E▲",F15="D1☆")</formula>
    </cfRule>
    <cfRule type="expression" dxfId="3475" priority="2722">
      <formula>AND(E15="E△",F15="D1☆")</formula>
    </cfRule>
    <cfRule type="expression" dxfId="3474" priority="2723">
      <formula>AND(E15="E6",F15="D1☆")</formula>
    </cfRule>
    <cfRule type="expression" dxfId="3473" priority="2724">
      <formula>AND(E15="W7",F15="D1☆")</formula>
    </cfRule>
    <cfRule type="expression" dxfId="3472" priority="3506">
      <formula>AND(E15="W7",F15="D6")</formula>
    </cfRule>
    <cfRule type="expression" dxfId="3471" priority="3507">
      <formula>AND(E15="W7",F15="D7")</formula>
    </cfRule>
    <cfRule type="expression" dxfId="3470" priority="3508">
      <formula>AND(E15="W7",F15="D△")</formula>
    </cfRule>
    <cfRule type="expression" dxfId="3469" priority="3509">
      <formula>AND(E15="W7",F15="D▲")</formula>
    </cfRule>
    <cfRule type="expression" dxfId="3468" priority="3510">
      <formula>AND(E15="W7",F15="CO☆")</formula>
    </cfRule>
    <cfRule type="expression" dxfId="3467" priority="3512">
      <formula>AND(E15="W7",F15="H5")</formula>
    </cfRule>
    <cfRule type="expression" dxfId="3466" priority="3513">
      <formula>AND(E15="W7",F15="M5")</formula>
    </cfRule>
    <cfRule type="expression" dxfId="3465" priority="3514">
      <formula>AND(E15="W7",F15="T台")</formula>
    </cfRule>
    <cfRule type="expression" dxfId="3464" priority="3515">
      <formula>AND(E15="W7",F15="M台")</formula>
    </cfRule>
    <cfRule type="expression" dxfId="3463" priority="3516">
      <formula>AND(E15="W7",F15="D1台")</formula>
    </cfRule>
    <cfRule type="expression" dxfId="3462" priority="3517">
      <formula>AND(E15="W7",F15="Y7")</formula>
    </cfRule>
    <cfRule type="expression" dxfId="3461" priority="3518">
      <formula>AND(E15="W7",F15="Co辦")</formula>
    </cfRule>
    <cfRule type="expression" dxfId="3460" priority="3519">
      <formula>AND(E15="E6",F15="Co辦")</formula>
    </cfRule>
    <cfRule type="expression" dxfId="3459" priority="3520">
      <formula>AND(E15="E6",F15="Y7")</formula>
    </cfRule>
    <cfRule type="expression" dxfId="3458" priority="3521">
      <formula>AND(E15="E6",F15="D1台")</formula>
    </cfRule>
    <cfRule type="expression" dxfId="3457" priority="3522">
      <formula>AND(E15="E6",F15="M台")</formula>
    </cfRule>
    <cfRule type="expression" dxfId="3456" priority="3523">
      <formula>AND(E15="E6",F15="T台")</formula>
    </cfRule>
    <cfRule type="expression" dxfId="3455" priority="3524">
      <formula>AND(E15="E6",F15="M5")</formula>
    </cfRule>
    <cfRule type="expression" dxfId="3454" priority="3525">
      <formula>AND(E15="E6",F15="H5")</formula>
    </cfRule>
    <cfRule type="expression" dxfId="3453" priority="3527">
      <formula>AND(E15="E6",F15="CO☆")</formula>
    </cfRule>
    <cfRule type="expression" dxfId="3452" priority="3528">
      <formula>AND(E15="E6",F15="D▲")</formula>
    </cfRule>
    <cfRule type="expression" dxfId="3451" priority="3529">
      <formula>AND(E15="E6",F15="D△")</formula>
    </cfRule>
    <cfRule type="expression" dxfId="3450" priority="3530">
      <formula>AND(E15="E6",F15="D7")</formula>
    </cfRule>
    <cfRule type="expression" dxfId="3449" priority="3531">
      <formula>AND(E15="E6",F15="D6")</formula>
    </cfRule>
    <cfRule type="expression" dxfId="3448" priority="3532">
      <formula>AND(E15="E6",F15="I3")</formula>
    </cfRule>
    <cfRule type="expression" dxfId="3447" priority="3533">
      <formula>AND(E15="E6",F15="A3")</formula>
    </cfRule>
    <cfRule type="expression" dxfId="3446" priority="3534">
      <formula>AND(E15="E△",F15="Co辦")</formula>
    </cfRule>
    <cfRule type="expression" dxfId="3445" priority="3535">
      <formula>AND(E15="E△",F15="Y7")</formula>
    </cfRule>
    <cfRule type="expression" dxfId="3444" priority="3536">
      <formula>AND(E15="E△",F15="D1台")</formula>
    </cfRule>
    <cfRule type="expression" dxfId="3443" priority="3537">
      <formula>AND(E15="E△",F15="M台")</formula>
    </cfRule>
    <cfRule type="expression" dxfId="3442" priority="3538">
      <formula>AND(E15="E△",F15="T台")</formula>
    </cfRule>
    <cfRule type="expression" dxfId="3441" priority="3539">
      <formula>AND(E15="E△",F15="M5")</formula>
    </cfRule>
    <cfRule type="expression" dxfId="3440" priority="3540">
      <formula>AND(E15="E△",F15="H5")</formula>
    </cfRule>
    <cfRule type="expression" dxfId="3439" priority="3542">
      <formula>AND(E15="E△",F15="CO☆")</formula>
    </cfRule>
    <cfRule type="expression" dxfId="3438" priority="3543">
      <formula>AND(E15="E△",F15="D▲")</formula>
    </cfRule>
    <cfRule type="expression" dxfId="3437" priority="3544">
      <formula>AND(E15="E△",F15="D△")</formula>
    </cfRule>
    <cfRule type="expression" dxfId="3436" priority="3545">
      <formula>AND(E15="E△",F15="D7")</formula>
    </cfRule>
    <cfRule type="expression" dxfId="3435" priority="3546">
      <formula>AND(E15="E△",F15="D6")</formula>
    </cfRule>
    <cfRule type="expression" dxfId="3434" priority="3547">
      <formula>AND(E15="E△",F15="I3")</formula>
    </cfRule>
    <cfRule type="expression" dxfId="3433" priority="3548">
      <formula>AND(E15="E△",F15="A3")</formula>
    </cfRule>
    <cfRule type="expression" dxfId="3432" priority="3549">
      <formula>AND(E15="E▲",F15="Co辦")</formula>
    </cfRule>
    <cfRule type="expression" dxfId="3431" priority="3550">
      <formula>AND(E15="E▲",F15="Y7")</formula>
    </cfRule>
    <cfRule type="expression" dxfId="3430" priority="3551">
      <formula>AND(E15="E▲",F15="D1台")</formula>
    </cfRule>
    <cfRule type="expression" dxfId="3429" priority="3552">
      <formula>AND(E15="E▲",F15="M台")</formula>
    </cfRule>
    <cfRule type="expression" dxfId="3428" priority="3554">
      <formula>AND(E15="E▲",F15="T台")</formula>
    </cfRule>
    <cfRule type="expression" dxfId="3427" priority="3555">
      <formula>AND(E15="E▲",F15="M5")</formula>
    </cfRule>
    <cfRule type="expression" dxfId="3426" priority="3556">
      <formula>AND(E15="E▲",F15="H5")</formula>
    </cfRule>
    <cfRule type="expression" dxfId="3425" priority="3558">
      <formula>AND(E15="E▲",F15="CO☆")</formula>
    </cfRule>
    <cfRule type="expression" dxfId="3424" priority="3559">
      <formula>AND(E15="E▲",F15="D▲")</formula>
    </cfRule>
    <cfRule type="expression" dxfId="3423" priority="3560">
      <formula>AND(E15="E▲",F15="D△")</formula>
    </cfRule>
    <cfRule type="expression" dxfId="3422" priority="3561">
      <formula>AND(E15="E▲",F15="D7")</formula>
    </cfRule>
    <cfRule type="expression" dxfId="3421" priority="3562">
      <formula>AND(E15="E▲",F15="D6")</formula>
    </cfRule>
    <cfRule type="expression" dxfId="3420" priority="3563">
      <formula>AND(E15="E▲",F15="I3")</formula>
    </cfRule>
    <cfRule type="expression" dxfId="3419" priority="3564">
      <formula>AND(E15="E▲",F15="A3")</formula>
    </cfRule>
  </conditionalFormatting>
  <conditionalFormatting sqref="F16:AI16">
    <cfRule type="expression" dxfId="3418" priority="2646">
      <formula>AND(E16="W7",F16="P5")</formula>
    </cfRule>
    <cfRule type="expression" dxfId="3417" priority="2647">
      <formula>AND(E16="E6",F16="P5")</formula>
    </cfRule>
    <cfRule type="expression" dxfId="3416" priority="2648">
      <formula>AND(E16="E△",F16="P5")</formula>
    </cfRule>
    <cfRule type="expression" dxfId="3415" priority="2649">
      <formula>AND(E16="E▲",F16="P5")</formula>
    </cfRule>
    <cfRule type="expression" dxfId="3414" priority="2717">
      <formula>AND(E16="W7",F16="D1☆")</formula>
    </cfRule>
    <cfRule type="expression" dxfId="3413" priority="2718">
      <formula>AND(E16="E6",F16="D1☆")</formula>
    </cfRule>
    <cfRule type="expression" dxfId="3412" priority="2719">
      <formula>AND(E16="E△",F16="D1☆")</formula>
    </cfRule>
    <cfRule type="expression" dxfId="3411" priority="2720">
      <formula>AND(E16="E▲",F16="D1☆")</formula>
    </cfRule>
    <cfRule type="expression" dxfId="3410" priority="3445">
      <formula>AND(E16="E▲",F16="A3")</formula>
    </cfRule>
    <cfRule type="expression" dxfId="3409" priority="3446">
      <formula>AND(E16="E▲",F16="I3")</formula>
    </cfRule>
    <cfRule type="expression" dxfId="3408" priority="3447">
      <formula>AND(E16="E▲",F16="D6")</formula>
    </cfRule>
    <cfRule type="expression" dxfId="3407" priority="3448">
      <formula>AND(E16="E▲",F16="D△")</formula>
    </cfRule>
    <cfRule type="expression" dxfId="3406" priority="3449">
      <formula>AND(E16="E▲",F16="D7")</formula>
    </cfRule>
    <cfRule type="expression" dxfId="3405" priority="3450">
      <formula>AND(E16="E▲",F16="D▲")</formula>
    </cfRule>
    <cfRule type="expression" dxfId="3404" priority="3451">
      <formula>AND(E16="E▲",F16="CO☆")</formula>
    </cfRule>
    <cfRule type="expression" dxfId="3403" priority="3453">
      <formula>AND(E16="E▲",F16="H5")</formula>
    </cfRule>
    <cfRule type="expression" dxfId="3402" priority="3454">
      <formula>AND(E16="E▲",F16="M5")</formula>
    </cfRule>
    <cfRule type="expression" dxfId="3401" priority="3455">
      <formula>AND(E16="E▲",F16="T台")</formula>
    </cfRule>
    <cfRule type="expression" dxfId="3400" priority="3456">
      <formula>AND(E16="E▲",F16="M台")</formula>
    </cfRule>
    <cfRule type="expression" dxfId="3399" priority="3457">
      <formula>AND(E16="E▲",F16="D1台")</formula>
    </cfRule>
    <cfRule type="expression" dxfId="3398" priority="3458">
      <formula>AND(E16="E▲",F16="Y7")</formula>
    </cfRule>
    <cfRule type="expression" dxfId="3397" priority="3459">
      <formula>AND(E16="E▲",F16="Co辦")</formula>
    </cfRule>
    <cfRule type="expression" dxfId="3396" priority="3460">
      <formula>AND(E16="E△",F16="A3")</formula>
    </cfRule>
    <cfRule type="expression" dxfId="3395" priority="3461">
      <formula>AND(E16="E△",F16="I3")</formula>
    </cfRule>
    <cfRule type="expression" dxfId="3394" priority="3462">
      <formula>AND(E16="E△",F16="D6")</formula>
    </cfRule>
    <cfRule type="expression" dxfId="3393" priority="3463">
      <formula>AND(E16="E△",F16="D7")</formula>
    </cfRule>
    <cfRule type="expression" dxfId="3392" priority="3464">
      <formula>AND(E16="E△",F16="D△")</formula>
    </cfRule>
    <cfRule type="expression" dxfId="3391" priority="3465">
      <formula>AND(E16="E△",F16="D▲")</formula>
    </cfRule>
    <cfRule type="expression" dxfId="3390" priority="3466">
      <formula>AND(E16="E△",F16="CO☆")</formula>
    </cfRule>
    <cfRule type="expression" dxfId="3389" priority="3468">
      <formula>AND(E16="E△",F16="H5")</formula>
    </cfRule>
    <cfRule type="expression" dxfId="3388" priority="3469">
      <formula>AND(E16="E△",F16="M5")</formula>
    </cfRule>
    <cfRule type="expression" dxfId="3387" priority="3470">
      <formula>AND(E16="E△",F16="T台")</formula>
    </cfRule>
    <cfRule type="expression" dxfId="3386" priority="3471">
      <formula>AND(E16="E△",F16="M台")</formula>
    </cfRule>
    <cfRule type="expression" dxfId="3385" priority="3472">
      <formula>AND(E16="E△",F16="D1台")</formula>
    </cfRule>
    <cfRule type="expression" dxfId="3384" priority="3473">
      <formula>AND(E16="E△",F16="Y7")</formula>
    </cfRule>
    <cfRule type="expression" dxfId="3383" priority="3474">
      <formula>AND(E16="E△",F16="Co辦")</formula>
    </cfRule>
    <cfRule type="expression" dxfId="3382" priority="3475">
      <formula>AND(E16="E6",F16="A3")</formula>
    </cfRule>
    <cfRule type="expression" dxfId="3381" priority="3476">
      <formula>AND(E16="E6",F16="I3")</formula>
    </cfRule>
    <cfRule type="expression" dxfId="3380" priority="3477">
      <formula>AND(E16="E6",F16="D6")</formula>
    </cfRule>
    <cfRule type="expression" dxfId="3379" priority="3478">
      <formula>AND(E16="E6",F16="D7")</formula>
    </cfRule>
    <cfRule type="expression" dxfId="3378" priority="3479">
      <formula>AND(E16="E6",F16="D△")</formula>
    </cfRule>
    <cfRule type="expression" dxfId="3377" priority="3480">
      <formula>AND(E16="E6",F16="D▲")</formula>
    </cfRule>
    <cfRule type="expression" dxfId="3376" priority="3481">
      <formula>AND(E16="E6",F16="CO☆")</formula>
    </cfRule>
    <cfRule type="expression" dxfId="3375" priority="3484">
      <formula>AND(E16="E6",F16="H5")</formula>
    </cfRule>
    <cfRule type="expression" dxfId="3374" priority="3485">
      <formula>AND(E16="E6",F16="M5")</formula>
    </cfRule>
    <cfRule type="expression" dxfId="3373" priority="3486">
      <formula>AND(E16="E6",F16="T台")</formula>
    </cfRule>
    <cfRule type="expression" dxfId="3372" priority="3487">
      <formula>AND(E16="E6",F16="M台")</formula>
    </cfRule>
    <cfRule type="expression" dxfId="3371" priority="3488">
      <formula>AND(E16="E6",F16="D1台")</formula>
    </cfRule>
    <cfRule type="expression" dxfId="3370" priority="3489">
      <formula>AND(E16="E6",F16="Y7")</formula>
    </cfRule>
    <cfRule type="expression" dxfId="3369" priority="3490">
      <formula>AND(E16="E6",F16="Co辦")</formula>
    </cfRule>
    <cfRule type="expression" dxfId="3368" priority="3491">
      <formula>AND(E16="W7",F16="Co辦")</formula>
    </cfRule>
    <cfRule type="expression" dxfId="3367" priority="3492">
      <formula>AND(E16="W7",F16="Y7")</formula>
    </cfRule>
    <cfRule type="expression" dxfId="3366" priority="3493">
      <formula>AND(E16="W7",F16="D1台")</formula>
    </cfRule>
    <cfRule type="expression" dxfId="3365" priority="3494">
      <formula>AND(E16="W7",F16="M台")</formula>
    </cfRule>
    <cfRule type="expression" dxfId="3364" priority="3495">
      <formula>AND(E16="W7",F16="T台")</formula>
    </cfRule>
    <cfRule type="expression" dxfId="3363" priority="3496">
      <formula>AND(E16="W7",F16="M5")</formula>
    </cfRule>
    <cfRule type="expression" dxfId="3362" priority="3497">
      <formula>AND(E16="W7",F16="H5")</formula>
    </cfRule>
    <cfRule type="expression" dxfId="3361" priority="3500">
      <formula>AND(E16="W7",F16="CO☆")</formula>
    </cfRule>
    <cfRule type="expression" dxfId="3360" priority="3501">
      <formula>AND(E16="W7",F16="D▲")</formula>
    </cfRule>
    <cfRule type="expression" dxfId="3359" priority="3502">
      <formula>AND(E16="W7",F16="D△")</formula>
    </cfRule>
    <cfRule type="expression" dxfId="3358" priority="3503">
      <formula>AND(E16="W7",F16="D7")</formula>
    </cfRule>
    <cfRule type="expression" dxfId="3357" priority="3504">
      <formula>AND(E16="W7",F16="D6")</formula>
    </cfRule>
  </conditionalFormatting>
  <conditionalFormatting sqref="F18:AI18">
    <cfRule type="expression" dxfId="3356" priority="2638">
      <formula>AND(E18="E6",F18="P5")</formula>
    </cfRule>
    <cfRule type="expression" dxfId="3355" priority="2639">
      <formula>AND(E18="W7",F18="P5")</formula>
    </cfRule>
    <cfRule type="expression" dxfId="3354" priority="2640">
      <formula>AND(E18="E△",F18="P5")</formula>
    </cfRule>
    <cfRule type="expression" dxfId="3353" priority="2641">
      <formula>AND(E18="E▲",F18="P5")</formula>
    </cfRule>
    <cfRule type="expression" dxfId="3352" priority="2709">
      <formula>AND(E18="W7",F18="D1☆")</formula>
    </cfRule>
    <cfRule type="expression" dxfId="3351" priority="2710">
      <formula>AND(E18="E6",F18="D1☆")</formula>
    </cfRule>
    <cfRule type="expression" dxfId="3350" priority="2711">
      <formula>AND(E18="E△",F18="D1☆")</formula>
    </cfRule>
    <cfRule type="expression" dxfId="3349" priority="2712">
      <formula>AND(E18="E▲",F18="D1☆")</formula>
    </cfRule>
    <cfRule type="expression" dxfId="3348" priority="3325">
      <formula>AND(E18="E▲",F18="A3")</formula>
    </cfRule>
    <cfRule type="expression" dxfId="3347" priority="3326">
      <formula>AND(E18="E▲",F18="I3")</formula>
    </cfRule>
    <cfRule type="expression" dxfId="3346" priority="3327">
      <formula>AND(E18="E▲",F18="D6")</formula>
    </cfRule>
    <cfRule type="expression" dxfId="3345" priority="3328">
      <formula>AND(E18="E▲",F18="D△")</formula>
    </cfRule>
    <cfRule type="expression" dxfId="3344" priority="3329">
      <formula>AND(E18="E▲",F18="D7")</formula>
    </cfRule>
    <cfRule type="expression" dxfId="3343" priority="3330">
      <formula>AND(E18="E▲",F18="D▲")</formula>
    </cfRule>
    <cfRule type="expression" dxfId="3342" priority="3331">
      <formula>AND(E18="E▲",F18="CO☆")</formula>
    </cfRule>
    <cfRule type="expression" dxfId="3341" priority="3333">
      <formula>AND(E18="E▲",F18="H5")</formula>
    </cfRule>
    <cfRule type="expression" dxfId="3340" priority="3334">
      <formula>AND(E18="E▲",F18="M5")</formula>
    </cfRule>
    <cfRule type="expression" dxfId="3339" priority="3335">
      <formula>AND(E18="E▲",F18="T台")</formula>
    </cfRule>
    <cfRule type="expression" dxfId="3338" priority="3336">
      <formula>AND(E18="E▲",F18="M台")</formula>
    </cfRule>
    <cfRule type="expression" dxfId="3337" priority="3338">
      <formula>AND(E18="E▲",F18="D1台")</formula>
    </cfRule>
    <cfRule type="expression" dxfId="3336" priority="3339">
      <formula>AND(E18="E▲",F18="Y7")</formula>
    </cfRule>
    <cfRule type="expression" dxfId="3335" priority="3340">
      <formula>AND(E18="E▲",F18="Co辦")</formula>
    </cfRule>
    <cfRule type="expression" dxfId="3334" priority="3341">
      <formula>AND(E18="E△",F18="A3")</formula>
    </cfRule>
    <cfRule type="expression" dxfId="3333" priority="3342">
      <formula>AND(E18="E△",F18="D6")</formula>
    </cfRule>
    <cfRule type="expression" dxfId="3332" priority="3343">
      <formula>AND(E18="E△",F18="I3")</formula>
    </cfRule>
    <cfRule type="expression" dxfId="3331" priority="3344">
      <formula>AND(E18="E△",F18="D7")</formula>
    </cfRule>
    <cfRule type="expression" dxfId="3330" priority="3345">
      <formula>AND(E18="E△",F18="D△")</formula>
    </cfRule>
    <cfRule type="expression" dxfId="3329" priority="3346">
      <formula>AND(E18="E△",F18="D▲")</formula>
    </cfRule>
    <cfRule type="expression" dxfId="3328" priority="3347">
      <formula>AND(E18="E△",F18="CO☆")</formula>
    </cfRule>
    <cfRule type="expression" dxfId="3327" priority="3349">
      <formula>AND(E18="E△",F18="H5")</formula>
    </cfRule>
    <cfRule type="expression" dxfId="3326" priority="3350">
      <formula>AND(E18="E△",F18="M5")</formula>
    </cfRule>
    <cfRule type="expression" dxfId="3325" priority="3351">
      <formula>AND(E18="E△",F18="T台")</formula>
    </cfRule>
    <cfRule type="expression" dxfId="3324" priority="3352">
      <formula>AND(E18="E△",F18="M台")</formula>
    </cfRule>
    <cfRule type="expression" dxfId="3323" priority="3353">
      <formula>AND(E18="E△",F18="D1台")</formula>
    </cfRule>
    <cfRule type="expression" dxfId="3322" priority="3354">
      <formula>AND(E18="E△",F18="Y7")</formula>
    </cfRule>
    <cfRule type="expression" dxfId="3321" priority="3355">
      <formula>AND(E18="E△",F18="Co辦")</formula>
    </cfRule>
    <cfRule type="expression" dxfId="3320" priority="3356">
      <formula>AND(E18="E6",F18="A3")</formula>
    </cfRule>
    <cfRule type="expression" dxfId="3319" priority="3357">
      <formula>AND(E18="E6",F18="I3")</formula>
    </cfRule>
    <cfRule type="expression" dxfId="3318" priority="3358">
      <formula>AND(E18="E6",F18="D6")</formula>
    </cfRule>
    <cfRule type="expression" dxfId="3317" priority="3359">
      <formula>AND(E18="E6",F18="D7")</formula>
    </cfRule>
    <cfRule type="expression" dxfId="3316" priority="3360">
      <formula>AND(E18="E6",F18="D△")</formula>
    </cfRule>
    <cfRule type="expression" dxfId="3315" priority="3361">
      <formula>AND(E18="E6",F18="D▲")</formula>
    </cfRule>
    <cfRule type="expression" dxfId="3314" priority="3362">
      <formula>AND(E18="E6",F18="CO☆")</formula>
    </cfRule>
    <cfRule type="expression" dxfId="3313" priority="3364">
      <formula>AND(E18="E6",F18="H5")</formula>
    </cfRule>
    <cfRule type="expression" dxfId="3312" priority="3365">
      <formula>AND(E18="E6",F18="M5")</formula>
    </cfRule>
    <cfRule type="expression" dxfId="3311" priority="3366">
      <formula>AND(E18="E6",F18="T台")</formula>
    </cfRule>
    <cfRule type="expression" dxfId="3310" priority="3367">
      <formula>AND(E18="E6",F18="M台")</formula>
    </cfRule>
    <cfRule type="expression" dxfId="3309" priority="3368">
      <formula>AND(E18="E6",F18="D1台")</formula>
    </cfRule>
    <cfRule type="expression" dxfId="3308" priority="3369">
      <formula>AND(E18="E6",F18="Y7")</formula>
    </cfRule>
    <cfRule type="expression" dxfId="3307" priority="3370">
      <formula>AND(E18="E6",F18="Co辦")</formula>
    </cfRule>
    <cfRule type="expression" dxfId="3306" priority="3371">
      <formula>AND(E18="W7",F18="Co辦")</formula>
    </cfRule>
    <cfRule type="expression" dxfId="3305" priority="3372">
      <formula>AND(E18="W7",F18="Y7")</formula>
    </cfRule>
    <cfRule type="expression" dxfId="3304" priority="3373">
      <formula>AND(E18="W7",F18="D1台")</formula>
    </cfRule>
    <cfRule type="expression" dxfId="3303" priority="3374">
      <formula>AND(E18="W7",F18="M台")</formula>
    </cfRule>
    <cfRule type="expression" dxfId="3302" priority="3375">
      <formula>AND(E18="W7",F18="T台")</formula>
    </cfRule>
    <cfRule type="expression" dxfId="3301" priority="3376">
      <formula>AND(E18="W7",F18="M5")</formula>
    </cfRule>
    <cfRule type="expression" dxfId="3300" priority="3377">
      <formula>AND(E18="W7",F18="H5")</formula>
    </cfRule>
    <cfRule type="expression" dxfId="3299" priority="3379">
      <formula>AND(E18="W7",F18="CO☆")</formula>
    </cfRule>
    <cfRule type="expression" dxfId="3298" priority="3380">
      <formula>AND(E18="W7",F18="D▲")</formula>
    </cfRule>
    <cfRule type="expression" dxfId="3297" priority="3381">
      <formula>AND(E18="W7",F18="D△")</formula>
    </cfRule>
    <cfRule type="expression" dxfId="3296" priority="3382">
      <formula>AND(E18="W7",F18="D7")</formula>
    </cfRule>
    <cfRule type="expression" dxfId="3295" priority="3383">
      <formula>AND(E18="W7",F18="D6")</formula>
    </cfRule>
  </conditionalFormatting>
  <conditionalFormatting sqref="F19:AI19">
    <cfRule type="expression" dxfId="3294" priority="2634">
      <formula>AND(E19="W7",F19="P5")</formula>
    </cfRule>
    <cfRule type="expression" dxfId="3293" priority="2635">
      <formula>AND(E19="E6",F19="P5")</formula>
    </cfRule>
    <cfRule type="expression" dxfId="3292" priority="2636">
      <formula>AND(E19="E△",F19="P5")</formula>
    </cfRule>
    <cfRule type="expression" dxfId="3291" priority="2637">
      <formula>AND(E19="E▲",F19="P5")</formula>
    </cfRule>
    <cfRule type="expression" dxfId="3290" priority="2705">
      <formula>AND(E19="E▲",F19="D1☆")</formula>
    </cfRule>
    <cfRule type="expression" dxfId="3289" priority="2706">
      <formula>AND(E19="E△",F19="D1☆")</formula>
    </cfRule>
    <cfRule type="expression" dxfId="3288" priority="2707">
      <formula>AND(E19="E6",F19="D1☆")</formula>
    </cfRule>
    <cfRule type="expression" dxfId="3287" priority="2708">
      <formula>AND(E19="W7",F19="D1☆")</formula>
    </cfRule>
    <cfRule type="expression" dxfId="3286" priority="3040">
      <formula>AND(E19="W7",F19="D6")</formula>
    </cfRule>
    <cfRule type="expression" dxfId="3285" priority="3041">
      <formula>AND(E19="W7",F19="D7")</formula>
    </cfRule>
    <cfRule type="expression" dxfId="3284" priority="3042">
      <formula>AND(E19="W7",F19="D△")</formula>
    </cfRule>
    <cfRule type="expression" dxfId="3283" priority="3043">
      <formula>AND(E19="W7",F19="D▲")</formula>
    </cfRule>
    <cfRule type="expression" dxfId="3282" priority="3044">
      <formula>AND(E19="W7",F19="CO☆")</formula>
    </cfRule>
    <cfRule type="expression" dxfId="3281" priority="3046">
      <formula>AND(E19="W7",F19="H5")</formula>
    </cfRule>
    <cfRule type="expression" dxfId="3280" priority="3047">
      <formula>AND(E19="W7",F19="M5")</formula>
    </cfRule>
    <cfRule type="expression" dxfId="3279" priority="3048">
      <formula>AND(E19="W7",F19="T台")</formula>
    </cfRule>
    <cfRule type="expression" dxfId="3278" priority="3049">
      <formula>AND(E19="W7",F19="M台")</formula>
    </cfRule>
    <cfRule type="expression" dxfId="3277" priority="3050">
      <formula>AND(E19="W7",F19="D1台")</formula>
    </cfRule>
    <cfRule type="expression" dxfId="3276" priority="3051">
      <formula>AND(E19="W7",F19="Y7")</formula>
    </cfRule>
    <cfRule type="expression" dxfId="3275" priority="3052">
      <formula>AND(E19="W7",F19="Co辦")</formula>
    </cfRule>
    <cfRule type="expression" dxfId="3274" priority="3129">
      <formula>AND(E19="E6",F19="Co辦")</formula>
    </cfRule>
    <cfRule type="expression" dxfId="3273" priority="3130">
      <formula>AND(E19="E6",F19="Y7")</formula>
    </cfRule>
    <cfRule type="expression" dxfId="3272" priority="3131">
      <formula>AND(E19="E6",F19="D1台")</formula>
    </cfRule>
    <cfRule type="expression" dxfId="3271" priority="3132">
      <formula>AND(E19="E6",F19="M台")</formula>
    </cfRule>
    <cfRule type="expression" dxfId="3270" priority="3133">
      <formula>AND(E19="E6",F19="T台")</formula>
    </cfRule>
    <cfRule type="expression" dxfId="3269" priority="3134">
      <formula>AND(E19="E6",F19="M5")</formula>
    </cfRule>
    <cfRule type="expression" dxfId="3268" priority="3135">
      <formula>AND(E19="E6",F19="H5")</formula>
    </cfRule>
    <cfRule type="expression" dxfId="3267" priority="3137">
      <formula>AND(E19="E6",F19="CO☆")</formula>
    </cfRule>
    <cfRule type="expression" dxfId="3266" priority="3138">
      <formula>AND(E19="E6",F19="D▲")</formula>
    </cfRule>
    <cfRule type="expression" dxfId="3265" priority="3139">
      <formula>AND(E19="E6",F19="D△")</formula>
    </cfRule>
    <cfRule type="expression" dxfId="3264" priority="3140">
      <formula>AND(E19="E6",F19="D7")</formula>
    </cfRule>
    <cfRule type="expression" dxfId="3263" priority="3141">
      <formula>AND(E19="E6",F19="D6")</formula>
    </cfRule>
    <cfRule type="expression" dxfId="3262" priority="3142">
      <formula>AND(E19="E6",F19="I3")</formula>
    </cfRule>
    <cfRule type="expression" dxfId="3261" priority="3143">
      <formula>AND(E19="E6",F19="A3")</formula>
    </cfRule>
    <cfRule type="expression" dxfId="3260" priority="3219">
      <formula>AND(E19="E△",F19="Co辦")</formula>
    </cfRule>
    <cfRule type="expression" dxfId="3259" priority="3220">
      <formula>AND(E19="E△",F19="Y7")</formula>
    </cfRule>
    <cfRule type="expression" dxfId="3258" priority="3221">
      <formula>AND(E19="E△",F19="D1台")</formula>
    </cfRule>
    <cfRule type="expression" dxfId="3257" priority="3222">
      <formula>AND(E19="E△",F19="T台")</formula>
    </cfRule>
    <cfRule type="expression" dxfId="3256" priority="3223">
      <formula>AND(E19="E△",F19="M台")</formula>
    </cfRule>
    <cfRule type="expression" dxfId="3255" priority="3224">
      <formula>AND(E19="E△",F19="M5")</formula>
    </cfRule>
    <cfRule type="expression" dxfId="3254" priority="3226">
      <formula>AND(E19="E△",F19="H5")</formula>
    </cfRule>
    <cfRule type="expression" dxfId="3253" priority="3227">
      <formula>AND(E19="E△",F19="CO☆")</formula>
    </cfRule>
    <cfRule type="expression" dxfId="3252" priority="3228">
      <formula>AND(E19="E△",F19="D▲")</formula>
    </cfRule>
    <cfRule type="expression" dxfId="3251" priority="3229">
      <formula>AND(E19="E△",F19="D△")</formula>
    </cfRule>
    <cfRule type="expression" dxfId="3250" priority="3230">
      <formula>AND(E19="E△",F19="D7")</formula>
    </cfRule>
    <cfRule type="expression" dxfId="3249" priority="3231">
      <formula>AND(E19="E△",F19="I3")</formula>
    </cfRule>
    <cfRule type="expression" dxfId="3248" priority="3232">
      <formula>AND(E19="E△",F19="D6")</formula>
    </cfRule>
    <cfRule type="expression" dxfId="3247" priority="3233">
      <formula>AND(E19="E△",F19="A3")</formula>
    </cfRule>
    <cfRule type="expression" dxfId="3246" priority="3310">
      <formula>AND(E19="E▲",F19="Co辦")</formula>
    </cfRule>
    <cfRule type="expression" dxfId="3245" priority="3311">
      <formula>AND(E19="E▲",F19="Y7")</formula>
    </cfRule>
    <cfRule type="expression" dxfId="3244" priority="3312">
      <formula>AND(E19="E▲",F19="D1台")</formula>
    </cfRule>
    <cfRule type="expression" dxfId="3243" priority="3313">
      <formula>AND(E19="E▲",F19="M台")</formula>
    </cfRule>
    <cfRule type="expression" dxfId="3242" priority="3314">
      <formula>AND(E19="E▲",F19="T台")</formula>
    </cfRule>
    <cfRule type="expression" dxfId="3241" priority="3315">
      <formula>AND(E19="E▲",F19="M5")</formula>
    </cfRule>
    <cfRule type="expression" dxfId="3240" priority="3316">
      <formula>AND(E19="E▲",F19="H5")</formula>
    </cfRule>
    <cfRule type="expression" dxfId="3239" priority="3318">
      <formula>AND(E19="E▲",F19="CO☆")</formula>
    </cfRule>
    <cfRule type="expression" dxfId="3238" priority="3319">
      <formula>AND(E19="E▲",F19="D▲")</formula>
    </cfRule>
    <cfRule type="expression" dxfId="3237" priority="3320">
      <formula>AND(E19="E▲",F19="D7")</formula>
    </cfRule>
    <cfRule type="expression" dxfId="3236" priority="3321">
      <formula>AND(E19="E▲",F19="D△")</formula>
    </cfRule>
    <cfRule type="expression" dxfId="3235" priority="3322">
      <formula>AND(E19="E▲",F19="D6")</formula>
    </cfRule>
    <cfRule type="expression" dxfId="3234" priority="3323">
      <formula>AND(E19="E▲",F19="I3")</formula>
    </cfRule>
    <cfRule type="expression" dxfId="3233" priority="3324">
      <formula>AND(E19="E▲",F19="A3")</formula>
    </cfRule>
  </conditionalFormatting>
  <conditionalFormatting sqref="F20:AI20">
    <cfRule type="expression" dxfId="3232" priority="2630">
      <formula>AND(E20="W7",F20="P5")</formula>
    </cfRule>
    <cfRule type="expression" dxfId="3231" priority="2631">
      <formula>AND(E20="E6",F20="P5")</formula>
    </cfRule>
    <cfRule type="expression" dxfId="3230" priority="2632">
      <formula>AND(E20="E△",F20="P5")</formula>
    </cfRule>
    <cfRule type="expression" dxfId="3229" priority="2633">
      <formula>AND(E20="E▲",F20="P5")</formula>
    </cfRule>
    <cfRule type="expression" dxfId="3228" priority="2701">
      <formula>AND(E20="E▲",F20="D1☆")</formula>
    </cfRule>
    <cfRule type="expression" dxfId="3227" priority="2702">
      <formula>AND(E20="E△",F20="D1☆")</formula>
    </cfRule>
    <cfRule type="expression" dxfId="3226" priority="2703">
      <formula>AND(E20="E6",F20="D1☆")</formula>
    </cfRule>
    <cfRule type="expression" dxfId="3225" priority="2704">
      <formula>AND(E20="W7",F20="D1☆")</formula>
    </cfRule>
    <cfRule type="expression" dxfId="3224" priority="3027">
      <formula>AND(E20="W7",F20="Co辦")</formula>
    </cfRule>
    <cfRule type="expression" dxfId="3223" priority="3028">
      <formula>AND(E20="W7",F20="Y7")</formula>
    </cfRule>
    <cfRule type="expression" dxfId="3222" priority="3029">
      <formula>AND(E20="W7",F20="D1台")</formula>
    </cfRule>
    <cfRule type="expression" dxfId="3221" priority="3030">
      <formula>AND(E20="W7",F20="M台")</formula>
    </cfRule>
    <cfRule type="expression" dxfId="3220" priority="3031">
      <formula>AND(E20="W7",F20="T台")</formula>
    </cfRule>
    <cfRule type="expression" dxfId="3219" priority="3032">
      <formula>AND(E20="W7",F20="M5")</formula>
    </cfRule>
    <cfRule type="expression" dxfId="3218" priority="3033">
      <formula>AND(E20="W7",F20="H5")</formula>
    </cfRule>
    <cfRule type="expression" dxfId="3217" priority="3035">
      <formula>AND(E20="W7",F20="CO☆")</formula>
    </cfRule>
    <cfRule type="expression" dxfId="3216" priority="3036">
      <formula>AND(E20="W7",F20="D▲")</formula>
    </cfRule>
    <cfRule type="expression" dxfId="3215" priority="3037">
      <formula>AND(E20="W7",F20="D△")</formula>
    </cfRule>
    <cfRule type="expression" dxfId="3214" priority="3038">
      <formula>AND(E20="W7",F20="D7")</formula>
    </cfRule>
    <cfRule type="expression" dxfId="3213" priority="3039">
      <formula>AND(E20="W7",F20="D6")</formula>
    </cfRule>
    <cfRule type="expression" dxfId="3212" priority="3114">
      <formula>AND(E20="E6",F20="A3")</formula>
    </cfRule>
    <cfRule type="expression" dxfId="3211" priority="3115">
      <formula>AND(E20="E6",F20="I3")</formula>
    </cfRule>
    <cfRule type="expression" dxfId="3210" priority="3116">
      <formula>AND(E20="E6",F20="D6")</formula>
    </cfRule>
    <cfRule type="expression" dxfId="3209" priority="3117">
      <formula>AND(E20="E6",F20="D7")</formula>
    </cfRule>
    <cfRule type="expression" dxfId="3208" priority="3118">
      <formula>AND(E20="E6",F20="D△")</formula>
    </cfRule>
    <cfRule type="expression" dxfId="3207" priority="3119">
      <formula>AND(E20="E6",F20="D▲")</formula>
    </cfRule>
    <cfRule type="expression" dxfId="3206" priority="3120">
      <formula>AND(E20="E6",F20="CO☆")</formula>
    </cfRule>
    <cfRule type="expression" dxfId="3205" priority="3122">
      <formula>AND(E20="E6",F20="H5")</formula>
    </cfRule>
    <cfRule type="expression" dxfId="3204" priority="3123">
      <formula>AND(E20="E6",F20="M5")</formula>
    </cfRule>
    <cfRule type="expression" dxfId="3203" priority="3124">
      <formula>AND(E20="E6",F20="T台")</formula>
    </cfRule>
    <cfRule type="expression" dxfId="3202" priority="3125">
      <formula>AND(E20="E6",F20="M台")</formula>
    </cfRule>
    <cfRule type="expression" dxfId="3201" priority="3126">
      <formula>AND(E20="E6",F20="D1台")</formula>
    </cfRule>
    <cfRule type="expression" dxfId="3200" priority="3127">
      <formula>AND(E20="E6",F20="Y7")</formula>
    </cfRule>
    <cfRule type="expression" dxfId="3199" priority="3128">
      <formula>AND(E20="E6",F20="Co辦")</formula>
    </cfRule>
    <cfRule type="expression" dxfId="3198" priority="3204">
      <formula>AND(E20="E△",F20="A3")</formula>
    </cfRule>
    <cfRule type="expression" dxfId="3197" priority="3205">
      <formula>AND(E20="E△",F20="D6")</formula>
    </cfRule>
    <cfRule type="expression" dxfId="3196" priority="3206">
      <formula>AND(E20="E△",F20="I3")</formula>
    </cfRule>
    <cfRule type="expression" dxfId="3195" priority="3207">
      <formula>AND(E20="E△",F20="D7")</formula>
    </cfRule>
    <cfRule type="expression" dxfId="3194" priority="3208">
      <formula>AND(E20="E△",F20="D△")</formula>
    </cfRule>
    <cfRule type="expression" dxfId="3193" priority="3209">
      <formula>AND(E20="E△",F20="D▲")</formula>
    </cfRule>
    <cfRule type="expression" dxfId="3192" priority="3210">
      <formula>AND(E20="E△",F20="CO☆")</formula>
    </cfRule>
    <cfRule type="expression" dxfId="3191" priority="3211">
      <formula>AND(E20="E△",F20="H5")</formula>
    </cfRule>
    <cfRule type="expression" dxfId="3190" priority="3213">
      <formula>AND(E20="E△",F20="M5")</formula>
    </cfRule>
    <cfRule type="expression" dxfId="3189" priority="3214">
      <formula>AND(E20="E△",F20="M台")</formula>
    </cfRule>
    <cfRule type="expression" dxfId="3188" priority="3215">
      <formula>AND(E20="E△",F20="T台")</formula>
    </cfRule>
    <cfRule type="expression" dxfId="3187" priority="3216">
      <formula>AND(E20="E△",F20="D1台")</formula>
    </cfRule>
    <cfRule type="expression" dxfId="3186" priority="3217">
      <formula>AND(E20="E△",F20="Y7")</formula>
    </cfRule>
    <cfRule type="expression" dxfId="3185" priority="3218">
      <formula>AND(E20="E△",F20="Co辦")</formula>
    </cfRule>
    <cfRule type="expression" dxfId="3184" priority="3295">
      <formula>AND(E20="E▲",F20="A3")</formula>
    </cfRule>
    <cfRule type="expression" dxfId="3183" priority="3296">
      <formula>AND(E20="E▲",F20="I3")</formula>
    </cfRule>
    <cfRule type="expression" dxfId="3182" priority="3297">
      <formula>AND(E20="E▲",F20="D6")</formula>
    </cfRule>
    <cfRule type="expression" dxfId="3181" priority="3298">
      <formula>AND(E20="E▲",F20="D△")</formula>
    </cfRule>
    <cfRule type="expression" dxfId="3180" priority="3299">
      <formula>AND(E20="E▲",F20="D7")</formula>
    </cfRule>
    <cfRule type="expression" dxfId="3179" priority="3300">
      <formula>AND(E20="E▲",F20="D▲")</formula>
    </cfRule>
    <cfRule type="expression" dxfId="3178" priority="3301">
      <formula>AND(E20="E▲",F20="CO☆")</formula>
    </cfRule>
    <cfRule type="expression" dxfId="3177" priority="3303">
      <formula>AND(E20="E▲",F20="H5")</formula>
    </cfRule>
    <cfRule type="expression" dxfId="3176" priority="3304">
      <formula>AND(E20="E▲",F20="M5")</formula>
    </cfRule>
    <cfRule type="expression" dxfId="3175" priority="3305">
      <formula>AND(E20="E▲",F20="T台")</formula>
    </cfRule>
    <cfRule type="expression" dxfId="3174" priority="3306">
      <formula>AND(E20="E▲",F20="M台")</formula>
    </cfRule>
    <cfRule type="expression" dxfId="3173" priority="3307">
      <formula>AND(E20="E▲",F20="D1台")</formula>
    </cfRule>
    <cfRule type="expression" dxfId="3172" priority="3308">
      <formula>AND(E20="E▲",F20="Y7")</formula>
    </cfRule>
    <cfRule type="expression" dxfId="3171" priority="3309">
      <formula>AND(E20="E▲",F20="Co辦")</formula>
    </cfRule>
  </conditionalFormatting>
  <conditionalFormatting sqref="F21:AI21">
    <cfRule type="expression" dxfId="3170" priority="2626">
      <formula>AND(E21="W7",F21="P5")</formula>
    </cfRule>
    <cfRule type="expression" dxfId="3169" priority="2627">
      <formula>AND(E21="E6",F21="P5")</formula>
    </cfRule>
    <cfRule type="expression" dxfId="3168" priority="2628">
      <formula>AND(E21="E△",F21="P5")</formula>
    </cfRule>
    <cfRule type="expression" dxfId="3167" priority="2629">
      <formula>AND(E21="E▲",F21="P5")</formula>
    </cfRule>
    <cfRule type="expression" dxfId="3166" priority="2697">
      <formula>AND(E21="E▲",F21="D1☆")</formula>
    </cfRule>
    <cfRule type="expression" dxfId="3165" priority="2698">
      <formula>AND(E21="E△",F21="D1☆")</formula>
    </cfRule>
    <cfRule type="expression" dxfId="3164" priority="2699">
      <formula>AND(E21="E6",F21="D1☆")</formula>
    </cfRule>
    <cfRule type="expression" dxfId="3163" priority="2700">
      <formula>AND(E21="W7",F21="D1☆")</formula>
    </cfRule>
    <cfRule type="expression" dxfId="3162" priority="3013">
      <formula>AND(E21="W7",F21="D△")</formula>
    </cfRule>
    <cfRule type="expression" dxfId="3161" priority="3015">
      <formula>AND(E21="W7",F21="D6")</formula>
    </cfRule>
    <cfRule type="expression" dxfId="3160" priority="3016">
      <formula>AND(E21="W7",F21="D7")</formula>
    </cfRule>
    <cfRule type="expression" dxfId="3159" priority="3017">
      <formula>AND(E21="W7",F21="D▲")</formula>
    </cfRule>
    <cfRule type="expression" dxfId="3158" priority="3018">
      <formula>AND(E21="W7",F21="CO☆")</formula>
    </cfRule>
    <cfRule type="expression" dxfId="3157" priority="3020">
      <formula>AND(E21="W7",F21="H5")</formula>
    </cfRule>
    <cfRule type="expression" dxfId="3156" priority="3021">
      <formula>AND(E21="W7",F21="M5")</formula>
    </cfRule>
    <cfRule type="expression" dxfId="3155" priority="3022">
      <formula>AND(E21="W7",F21="T台")</formula>
    </cfRule>
    <cfRule type="expression" dxfId="3154" priority="3023">
      <formula>AND(E21="W7",F21="M台")</formula>
    </cfRule>
    <cfRule type="expression" dxfId="3153" priority="3024">
      <formula>AND(E21="W7",F21="D1台")</formula>
    </cfRule>
    <cfRule type="expression" dxfId="3152" priority="3025">
      <formula>AND(E21="W7",F21="Y7")</formula>
    </cfRule>
    <cfRule type="expression" dxfId="3151" priority="3026">
      <formula>AND(E21="W7",F21="Co辦")</formula>
    </cfRule>
    <cfRule type="expression" dxfId="3150" priority="3099">
      <formula>AND(E21="E6",F21="Co辦")</formula>
    </cfRule>
    <cfRule type="expression" dxfId="3149" priority="3100">
      <formula>AND(E21="E6",F21="Y7")</formula>
    </cfRule>
    <cfRule type="expression" dxfId="3148" priority="3101">
      <formula>AND(E21="E6",F21="D1台")</formula>
    </cfRule>
    <cfRule type="expression" dxfId="3147" priority="3102">
      <formula>AND(E21="E6",F21="M台")</formula>
    </cfRule>
    <cfRule type="expression" dxfId="3146" priority="3103">
      <formula>AND(E21="E6",F21="T台")</formula>
    </cfRule>
    <cfRule type="expression" dxfId="3145" priority="3104">
      <formula>AND(E21="E6",F21="M5")</formula>
    </cfRule>
    <cfRule type="expression" dxfId="3144" priority="3105">
      <formula>AND(E21="E6",F21="H5")</formula>
    </cfRule>
    <cfRule type="expression" dxfId="3143" priority="3107">
      <formula>AND(E21="E6",F21="CO☆")</formula>
    </cfRule>
    <cfRule type="expression" dxfId="3142" priority="3108">
      <formula>AND(E21="E6",F21="D▲")</formula>
    </cfRule>
    <cfRule type="expression" dxfId="3141" priority="3109">
      <formula>AND(E21="E6",F21="D△")</formula>
    </cfRule>
    <cfRule type="expression" dxfId="3140" priority="3110">
      <formula>AND(E21="E6",F21="D7")</formula>
    </cfRule>
    <cfRule type="expression" dxfId="3139" priority="3111">
      <formula>AND(E21="E6",F21="D6")</formula>
    </cfRule>
    <cfRule type="expression" dxfId="3138" priority="3112">
      <formula>AND(E21="E6",F21="I3")</formula>
    </cfRule>
    <cfRule type="expression" dxfId="3137" priority="3113">
      <formula>AND(E21="E6",F21="A3")</formula>
    </cfRule>
    <cfRule type="expression" dxfId="3136" priority="3189">
      <formula>AND(E21="E△",F21="Co辦")</formula>
    </cfRule>
    <cfRule type="expression" dxfId="3135" priority="3190">
      <formula>AND(E21="E△",F21="Y7")</formula>
    </cfRule>
    <cfRule type="expression" dxfId="3134" priority="3191">
      <formula>AND(E21="E△",F21="D1台")</formula>
    </cfRule>
    <cfRule type="expression" dxfId="3133" priority="3192">
      <formula>AND(E21="E△",F21="T台")</formula>
    </cfRule>
    <cfRule type="expression" dxfId="3132" priority="3193">
      <formula>AND(E21="E△",F21="M台")</formula>
    </cfRule>
    <cfRule type="expression" dxfId="3131" priority="3194">
      <formula>AND(E21="E△",F21="M5")</formula>
    </cfRule>
    <cfRule type="expression" dxfId="3130" priority="3196">
      <formula>AND(E21="E△",F21="H5")</formula>
    </cfRule>
    <cfRule type="expression" dxfId="3129" priority="3197">
      <formula>AND(E21="E△",F21="CO☆")</formula>
    </cfRule>
    <cfRule type="expression" dxfId="3128" priority="3198">
      <formula>AND(E21="E△",F21="D▲")</formula>
    </cfRule>
    <cfRule type="expression" dxfId="3127" priority="3199">
      <formula>AND(E21="E△",F21="D△")</formula>
    </cfRule>
    <cfRule type="expression" dxfId="3126" priority="3200">
      <formula>AND(E21="E△",F21="D7")</formula>
    </cfRule>
    <cfRule type="expression" dxfId="3125" priority="3201">
      <formula>AND(E21="E△",F21="I3")</formula>
    </cfRule>
    <cfRule type="expression" dxfId="3124" priority="3202">
      <formula>AND(E21="E△",F21="D6")</formula>
    </cfRule>
    <cfRule type="expression" dxfId="3123" priority="3203">
      <formula>AND(E21="E△",F21="A3")</formula>
    </cfRule>
    <cfRule type="expression" dxfId="3122" priority="3279">
      <formula>AND(E21="E▲",F21="Co辦")</formula>
    </cfRule>
    <cfRule type="expression" dxfId="3121" priority="3280">
      <formula>AND(E21="E▲",F21="Y7")</formula>
    </cfRule>
    <cfRule type="expression" dxfId="3120" priority="3281">
      <formula>AND(E21="E▲",F21="D1台")</formula>
    </cfRule>
    <cfRule type="expression" dxfId="3119" priority="3283">
      <formula>AND(E21="E▲",F21="M台")</formula>
    </cfRule>
    <cfRule type="expression" dxfId="3118" priority="3284">
      <formula>AND(E21="E▲",F21="T台")</formula>
    </cfRule>
    <cfRule type="expression" dxfId="3117" priority="3285">
      <formula>AND(E21="E▲",F21="M5")</formula>
    </cfRule>
    <cfRule type="expression" dxfId="3116" priority="3286">
      <formula>AND(E21="E▲",F21="H5")</formula>
    </cfRule>
    <cfRule type="expression" dxfId="3115" priority="3288">
      <formula>AND(E21="E▲",F21="CO☆")</formula>
    </cfRule>
    <cfRule type="expression" dxfId="3114" priority="3289">
      <formula>AND(E21="E▲",F21="D▲")</formula>
    </cfRule>
    <cfRule type="expression" dxfId="3113" priority="3290">
      <formula>AND(E21="E▲",F21="D7")</formula>
    </cfRule>
    <cfRule type="expression" dxfId="3112" priority="3291">
      <formula>AND(E21="E▲",F21="D△")</formula>
    </cfRule>
    <cfRule type="expression" dxfId="3111" priority="3292">
      <formula>AND(E21="E▲",F21="D6")</formula>
    </cfRule>
    <cfRule type="expression" dxfId="3110" priority="3293">
      <formula>AND(E21="E▲",F21="I3")</formula>
    </cfRule>
    <cfRule type="expression" dxfId="3109" priority="3294">
      <formula>AND(E21="E▲",F21="A3")</formula>
    </cfRule>
  </conditionalFormatting>
  <conditionalFormatting sqref="F22:AI22">
    <cfRule type="expression" dxfId="3108" priority="2622">
      <formula>AND(E22="W7",F22="P5")</formula>
    </cfRule>
    <cfRule type="expression" dxfId="3107" priority="2623">
      <formula>AND(E22="E6",F22="P5")</formula>
    </cfRule>
    <cfRule type="expression" dxfId="3106" priority="2624">
      <formula>AND(E22="E△",F22="P5")</formula>
    </cfRule>
    <cfRule type="expression" dxfId="3105" priority="2625">
      <formula>AND(E22="E▲",F22="P5")</formula>
    </cfRule>
    <cfRule type="expression" dxfId="3104" priority="2693">
      <formula>AND(E22="E▲",F22="D1☆")</formula>
    </cfRule>
    <cfRule type="expression" dxfId="3103" priority="2694">
      <formula>AND(E22="E△",F22="D1☆")</formula>
    </cfRule>
    <cfRule type="expression" dxfId="3102" priority="2695">
      <formula>AND(E22="E6",F22="D1☆")</formula>
    </cfRule>
    <cfRule type="expression" dxfId="3101" priority="2696">
      <formula>AND(E22="W7",F22="D1☆")</formula>
    </cfRule>
    <cfRule type="expression" dxfId="3100" priority="3000">
      <formula>AND(E22="W7",F22="Co辦")</formula>
    </cfRule>
    <cfRule type="expression" dxfId="3099" priority="3001">
      <formula>AND(E22="W7",F22="Y7")</formula>
    </cfRule>
    <cfRule type="expression" dxfId="3098" priority="3002">
      <formula>AND(E22="W7",F22="D1台")</formula>
    </cfRule>
    <cfRule type="expression" dxfId="3097" priority="3003">
      <formula>AND(E22="W7",F22="M台")</formula>
    </cfRule>
    <cfRule type="expression" dxfId="3096" priority="3004">
      <formula>AND(E22="W7",F22="T台")</formula>
    </cfRule>
    <cfRule type="expression" dxfId="3095" priority="3005">
      <formula>AND(E22="W7",F22="M5")</formula>
    </cfRule>
    <cfRule type="expression" dxfId="3094" priority="3006">
      <formula>AND(E22="W7",F22="H5")</formula>
    </cfRule>
    <cfRule type="expression" dxfId="3093" priority="3008">
      <formula>AND(E22="W7",F22="CO☆")</formula>
    </cfRule>
    <cfRule type="expression" dxfId="3092" priority="3009">
      <formula>AND(E22="W7",F22="D▲")</formula>
    </cfRule>
    <cfRule type="expression" dxfId="3091" priority="3010">
      <formula>AND(E22="W7",F22="D7")</formula>
    </cfRule>
    <cfRule type="expression" dxfId="3090" priority="3011">
      <formula>AND(E22="W7",F22="D6")</formula>
    </cfRule>
    <cfRule type="expression" dxfId="3089" priority="3012">
      <formula>AND(E22="W7",F22="D△")</formula>
    </cfRule>
    <cfRule type="expression" dxfId="3088" priority="3083">
      <formula>AND(E22="E6",F22="A3")</formula>
    </cfRule>
    <cfRule type="expression" dxfId="3087" priority="3084">
      <formula>AND(E22="E6",F22="I3")</formula>
    </cfRule>
    <cfRule type="expression" dxfId="3086" priority="3086">
      <formula>AND(E22="E6",F22="D6")</formula>
    </cfRule>
    <cfRule type="expression" dxfId="3085" priority="3087">
      <formula>AND(E22="E6",F22="D7")</formula>
    </cfRule>
    <cfRule type="expression" dxfId="3084" priority="3088">
      <formula>AND(E22="E6",F22="D△")</formula>
    </cfRule>
    <cfRule type="expression" dxfId="3083" priority="3089">
      <formula>AND(E22="E6",F22="D▲")</formula>
    </cfRule>
    <cfRule type="expression" dxfId="3082" priority="3090">
      <formula>AND(E22="E6",F22="CO☆")</formula>
    </cfRule>
    <cfRule type="expression" dxfId="3081" priority="3092">
      <formula>AND(E22="E6",F22="H5")</formula>
    </cfRule>
    <cfRule type="expression" dxfId="3080" priority="3093">
      <formula>AND(E22="E6",F22="M5")</formula>
    </cfRule>
    <cfRule type="expression" dxfId="3079" priority="3094">
      <formula>AND(E22="E6",F22="T台")</formula>
    </cfRule>
    <cfRule type="expression" dxfId="3078" priority="3095">
      <formula>AND(E22="E6",F22="M台")</formula>
    </cfRule>
    <cfRule type="expression" dxfId="3077" priority="3096">
      <formula>AND(E22="E6",F22="D1台")</formula>
    </cfRule>
    <cfRule type="expression" dxfId="3076" priority="3097">
      <formula>AND(E22="E6",F22="Y7")</formula>
    </cfRule>
    <cfRule type="expression" dxfId="3075" priority="3098">
      <formula>AND(E22="E6",F22="Co辦")</formula>
    </cfRule>
    <cfRule type="expression" dxfId="3074" priority="3174">
      <formula>AND(E22="E△",F22="A3")</formula>
    </cfRule>
    <cfRule type="expression" dxfId="3073" priority="3175">
      <formula>AND(E22="E△",F22="D6")</formula>
    </cfRule>
    <cfRule type="expression" dxfId="3072" priority="3176">
      <formula>AND(E22="E△",F22="I3")</formula>
    </cfRule>
    <cfRule type="expression" dxfId="3071" priority="3177">
      <formula>AND(E22="E△",F22="D7")</formula>
    </cfRule>
    <cfRule type="expression" dxfId="3070" priority="3178">
      <formula>AND(E22="E△",F22="D△")</formula>
    </cfRule>
    <cfRule type="expression" dxfId="3069" priority="3179">
      <formula>AND(E22="E△",F22="D▲")</formula>
    </cfRule>
    <cfRule type="expression" dxfId="3068" priority="3180">
      <formula>AND(E22="E△",F22="CO☆")</formula>
    </cfRule>
    <cfRule type="expression" dxfId="3067" priority="3181">
      <formula>AND(E22="E△",F22="H5")</formula>
    </cfRule>
    <cfRule type="expression" dxfId="3066" priority="3183">
      <formula>AND(E22="E△",F22="M5")</formula>
    </cfRule>
    <cfRule type="expression" dxfId="3065" priority="3184">
      <formula>AND(E22="E△",F22="M台")</formula>
    </cfRule>
    <cfRule type="expression" dxfId="3064" priority="3185">
      <formula>AND(E22="E△",F22="T台")</formula>
    </cfRule>
    <cfRule type="expression" dxfId="3063" priority="3186">
      <formula>AND(E22="E△",F22="D1台")</formula>
    </cfRule>
    <cfRule type="expression" dxfId="3062" priority="3187">
      <formula>AND(E22="E△",F22="Y7")</formula>
    </cfRule>
    <cfRule type="expression" dxfId="3061" priority="3188">
      <formula>AND(E22="E△",F22="Co辦")</formula>
    </cfRule>
    <cfRule type="expression" dxfId="3060" priority="3264">
      <formula>AND(E22="E▲",F22="A3")</formula>
    </cfRule>
    <cfRule type="expression" dxfId="3059" priority="3265">
      <formula>AND(E22="E▲",F22="I3")</formula>
    </cfRule>
    <cfRule type="expression" dxfId="3058" priority="3266">
      <formula>AND(E22="E▲",F22="D6")</formula>
    </cfRule>
    <cfRule type="expression" dxfId="3057" priority="3267">
      <formula>AND(E22="E▲",F22="D△")</formula>
    </cfRule>
    <cfRule type="expression" dxfId="3056" priority="3268">
      <formula>AND(E22="E▲",F22="D7")</formula>
    </cfRule>
    <cfRule type="expression" dxfId="3055" priority="3269">
      <formula>AND(E22="E▲",F22="D▲")</formula>
    </cfRule>
    <cfRule type="expression" dxfId="3054" priority="3270">
      <formula>AND(E22="E▲",F22="CO☆")</formula>
    </cfRule>
    <cfRule type="expression" dxfId="3053" priority="3272">
      <formula>AND(E22="E▲",F22="H5")</formula>
    </cfRule>
    <cfRule type="expression" dxfId="3052" priority="3273">
      <formula>AND(E22="E▲",F22="M5")</formula>
    </cfRule>
    <cfRule type="expression" dxfId="3051" priority="3274">
      <formula>AND(E22="E▲",F22="T台")</formula>
    </cfRule>
    <cfRule type="expression" dxfId="3050" priority="3275">
      <formula>AND(E22="E▲",F22="M台")</formula>
    </cfRule>
    <cfRule type="expression" dxfId="3049" priority="3276">
      <formula>AND(E22="E▲",F22="D1台")</formula>
    </cfRule>
    <cfRule type="expression" dxfId="3048" priority="3277">
      <formula>AND(E22="E▲",F22="Y7")</formula>
    </cfRule>
    <cfRule type="expression" dxfId="3047" priority="3278">
      <formula>AND(E22="E▲",F22="Co辦")</formula>
    </cfRule>
  </conditionalFormatting>
  <conditionalFormatting sqref="F23:AI23">
    <cfRule type="expression" dxfId="3046" priority="2618">
      <formula>AND(E23="W7",F23="P5")</formula>
    </cfRule>
    <cfRule type="expression" dxfId="3045" priority="2619">
      <formula>AND(E23="E6",F23="P5")</formula>
    </cfRule>
    <cfRule type="expression" dxfId="3044" priority="2620">
      <formula>AND(E23="E△",F23="P5")</formula>
    </cfRule>
    <cfRule type="expression" dxfId="3043" priority="2621">
      <formula>AND(E23="E▲",F23="P5")</formula>
    </cfRule>
    <cfRule type="expression" dxfId="3042" priority="2689">
      <formula>AND(E23="E▲",F23="D1☆")</formula>
    </cfRule>
    <cfRule type="expression" dxfId="3041" priority="2690">
      <formula>AND(E23="E△",F23="D1☆")</formula>
    </cfRule>
    <cfRule type="expression" dxfId="3040" priority="2691">
      <formula>AND(E23="E6",F23="D1☆")</formula>
    </cfRule>
    <cfRule type="expression" dxfId="3039" priority="2692">
      <formula>AND(E23="W7",F23="D1☆")</formula>
    </cfRule>
    <cfRule type="expression" dxfId="3038" priority="2987">
      <formula>AND(E23="W7",F23="D△")</formula>
    </cfRule>
    <cfRule type="expression" dxfId="3037" priority="2988">
      <formula>AND(E23="W7",F23="D6")</formula>
    </cfRule>
    <cfRule type="expression" dxfId="3036" priority="2989">
      <formula>AND(E23="W7",F23="D7")</formula>
    </cfRule>
    <cfRule type="expression" dxfId="3035" priority="2990">
      <formula>AND(E23="W7",F23="D▲")</formula>
    </cfRule>
    <cfRule type="expression" dxfId="3034" priority="2991">
      <formula>AND(E23="W7",F23="CO☆")</formula>
    </cfRule>
    <cfRule type="expression" dxfId="3033" priority="2993">
      <formula>AND(E23="W7",F23="H5")</formula>
    </cfRule>
    <cfRule type="expression" dxfId="3032" priority="2994">
      <formula>AND(E23="W7",F23="M5")</formula>
    </cfRule>
    <cfRule type="expression" dxfId="3031" priority="2995">
      <formula>AND(E23="W7",F23="T台")</formula>
    </cfRule>
    <cfRule type="expression" dxfId="3030" priority="2996">
      <formula>AND(E23="W7",F23="M台")</formula>
    </cfRule>
    <cfRule type="expression" dxfId="3029" priority="2997">
      <formula>AND(E23="W7",F23="D1台")</formula>
    </cfRule>
    <cfRule type="expression" dxfId="3028" priority="2998">
      <formula>AND(E23="W7",F23="Y7")</formula>
    </cfRule>
    <cfRule type="expression" dxfId="3027" priority="2999">
      <formula>AND(E23="W7",F23="Co辦")</formula>
    </cfRule>
    <cfRule type="expression" dxfId="3026" priority="3068">
      <formula>AND(E23="E6",F23="Co辦")</formula>
    </cfRule>
    <cfRule type="expression" dxfId="3025" priority="3069">
      <formula>AND(E23="E6",F23="Y7")</formula>
    </cfRule>
    <cfRule type="expression" dxfId="3024" priority="3070">
      <formula>AND(E23="E6",F23="D1台")</formula>
    </cfRule>
    <cfRule type="expression" dxfId="3023" priority="3071">
      <formula>AND(E23="E6",F23="M台")</formula>
    </cfRule>
    <cfRule type="expression" dxfId="3022" priority="3072">
      <formula>AND(E23="E6",F23="T台")</formula>
    </cfRule>
    <cfRule type="expression" dxfId="3021" priority="3073">
      <formula>AND(E23="E6",F23="M5")</formula>
    </cfRule>
    <cfRule type="expression" dxfId="3020" priority="3074">
      <formula>AND(E23="E6",F23="H5")</formula>
    </cfRule>
    <cfRule type="expression" dxfId="3019" priority="3076">
      <formula>AND(E23="E6",F23="CO☆")</formula>
    </cfRule>
    <cfRule type="expression" dxfId="3018" priority="3077">
      <formula>AND(E23="E6",F23="D▲")</formula>
    </cfRule>
    <cfRule type="expression" dxfId="3017" priority="3078">
      <formula>AND(E23="E6",F23="D△")</formula>
    </cfRule>
    <cfRule type="expression" dxfId="3016" priority="3079">
      <formula>AND(E23="E6",F23="D7")</formula>
    </cfRule>
    <cfRule type="expression" dxfId="3015" priority="3080">
      <formula>AND(E23="E6",F23="D6")</formula>
    </cfRule>
    <cfRule type="expression" dxfId="3014" priority="3081">
      <formula>AND(E23="E6",F23="I3")</formula>
    </cfRule>
    <cfRule type="expression" dxfId="3013" priority="3082">
      <formula>AND(E23="E6",F23="A3")</formula>
    </cfRule>
    <cfRule type="expression" dxfId="3012" priority="3159">
      <formula>AND(E23="E△",F23="Co辦")</formula>
    </cfRule>
    <cfRule type="expression" dxfId="3011" priority="3160">
      <formula>AND(E23="E△",F23="Y7")</formula>
    </cfRule>
    <cfRule type="expression" dxfId="3010" priority="3161">
      <formula>AND(E23="E△",F23="D1台")</formula>
    </cfRule>
    <cfRule type="expression" dxfId="3009" priority="3162">
      <formula>AND(E23="E△",F23="T台")</formula>
    </cfRule>
    <cfRule type="expression" dxfId="3008" priority="3163">
      <formula>AND(E23="E△",F23="M台")</formula>
    </cfRule>
    <cfRule type="expression" dxfId="3007" priority="3164">
      <formula>AND(E23="E△",F23="M5")</formula>
    </cfRule>
    <cfRule type="expression" dxfId="3006" priority="3166">
      <formula>AND(E23="E△",F23="H5")</formula>
    </cfRule>
    <cfRule type="expression" dxfId="3005" priority="3167">
      <formula>AND(E23="E△",F23="CO☆")</formula>
    </cfRule>
    <cfRule type="expression" dxfId="3004" priority="3168">
      <formula>AND(E23="E△",F23="D▲")</formula>
    </cfRule>
    <cfRule type="expression" dxfId="3003" priority="3169">
      <formula>AND(E23="E△",F23="D△")</formula>
    </cfRule>
    <cfRule type="expression" dxfId="3002" priority="3170">
      <formula>AND(E23="E△",F23="D7")</formula>
    </cfRule>
    <cfRule type="expression" dxfId="3001" priority="3171">
      <formula>AND(E23="E△",F23="I3")</formula>
    </cfRule>
    <cfRule type="expression" dxfId="3000" priority="3172">
      <formula>AND(E23="E△",F23="D6")</formula>
    </cfRule>
    <cfRule type="expression" dxfId="2999" priority="3173">
      <formula>AND(E23="E△",F23="A3")</formula>
    </cfRule>
    <cfRule type="expression" dxfId="2998" priority="3249">
      <formula>AND(E23="E▲",F23="Co辦")</formula>
    </cfRule>
    <cfRule type="expression" dxfId="2997" priority="3250">
      <formula>AND(E23="E▲",F23="Y7")</formula>
    </cfRule>
    <cfRule type="expression" dxfId="2996" priority="3251">
      <formula>AND(E23="E▲",F23="D1台")</formula>
    </cfRule>
    <cfRule type="expression" dxfId="2995" priority="3252">
      <formula>AND(E23="E▲",F23="M台")</formula>
    </cfRule>
    <cfRule type="expression" dxfId="2994" priority="3253">
      <formula>AND(E23="E▲",F23="T台")</formula>
    </cfRule>
    <cfRule type="expression" dxfId="2993" priority="3254">
      <formula>AND(E23="E▲",F23="M5")</formula>
    </cfRule>
    <cfRule type="expression" dxfId="2992" priority="3255">
      <formula>AND(E23="E▲",F23="H5")</formula>
    </cfRule>
    <cfRule type="expression" dxfId="2991" priority="3257">
      <formula>AND(E23="E▲",F23="CO☆")</formula>
    </cfRule>
    <cfRule type="expression" dxfId="2990" priority="3258">
      <formula>AND(E23="E▲",F23="D▲")</formula>
    </cfRule>
    <cfRule type="expression" dxfId="2989" priority="3259">
      <formula>AND(E23="E▲",F23="D7")</formula>
    </cfRule>
    <cfRule type="expression" dxfId="2988" priority="3260">
      <formula>AND(E23="E▲",F23="D△")</formula>
    </cfRule>
    <cfRule type="expression" dxfId="2987" priority="3261">
      <formula>AND(E23="E▲",F23="D6")</formula>
    </cfRule>
    <cfRule type="expression" dxfId="2986" priority="3262">
      <formula>AND(E23="E▲",F23="I3")</formula>
    </cfRule>
    <cfRule type="expression" dxfId="2985" priority="3263">
      <formula>AND(E23="E▲",F23="A3")</formula>
    </cfRule>
  </conditionalFormatting>
  <conditionalFormatting sqref="F17:AI17">
    <cfRule type="expression" dxfId="2984" priority="2642">
      <formula>AND(E17="W7",F17="P5")</formula>
    </cfRule>
    <cfRule type="expression" dxfId="2983" priority="2643">
      <formula>AND(E17="E6",F17="P5")</formula>
    </cfRule>
    <cfRule type="expression" dxfId="2982" priority="2644">
      <formula>AND(E17="E△",F17="P5")</formula>
    </cfRule>
    <cfRule type="expression" dxfId="2981" priority="2645">
      <formula>AND(E17="E▲",F17="P5")</formula>
    </cfRule>
    <cfRule type="expression" dxfId="2980" priority="2713">
      <formula>AND(E17="E▲",F17="D1☆")</formula>
    </cfRule>
    <cfRule type="expression" dxfId="2979" priority="2714">
      <formula>AND(E17="E△",F17="D1☆")</formula>
    </cfRule>
    <cfRule type="expression" dxfId="2978" priority="2715">
      <formula>AND(E17="E6",F17="D1☆")</formula>
    </cfRule>
    <cfRule type="expression" dxfId="2977" priority="2716">
      <formula>AND(E17="W7",F17="D1☆")</formula>
    </cfRule>
    <cfRule type="expression" dxfId="2976" priority="3385">
      <formula>AND(E17="W7",F17="D6")</formula>
    </cfRule>
    <cfRule type="expression" dxfId="2975" priority="3386">
      <formula>AND(E17="W7",F17="D7")</formula>
    </cfRule>
    <cfRule type="expression" dxfId="2974" priority="3387">
      <formula>AND(E17="W7",F17="D△")</formula>
    </cfRule>
    <cfRule type="expression" dxfId="2973" priority="3389">
      <formula>AND(E17="W7",F17="D▲")</formula>
    </cfRule>
    <cfRule type="expression" dxfId="2972" priority="3390">
      <formula>AND(E17="W7",F17="CO☆")</formula>
    </cfRule>
    <cfRule type="expression" dxfId="2971" priority="3392">
      <formula>AND(E17="W7",F17="H5")</formula>
    </cfRule>
    <cfRule type="expression" dxfId="2970" priority="3393">
      <formula>AND(E17="W7",F17="M5")</formula>
    </cfRule>
    <cfRule type="expression" dxfId="2969" priority="3394">
      <formula>AND(E17="W7",F17="T台")</formula>
    </cfRule>
    <cfRule type="expression" dxfId="2968" priority="3395">
      <formula>AND(E17="W7",F17="M台")</formula>
    </cfRule>
    <cfRule type="expression" dxfId="2967" priority="3396">
      <formula>AND(E17="W7",F17="D1台")</formula>
    </cfRule>
    <cfRule type="expression" dxfId="2966" priority="3397">
      <formula>AND(E17="W7",F17="Y7")</formula>
    </cfRule>
    <cfRule type="expression" dxfId="2965" priority="3398">
      <formula>AND(E17="W7",F17="Co辦")</formula>
    </cfRule>
    <cfRule type="expression" dxfId="2964" priority="3399">
      <formula>AND(E17="E6",F17="Co辦")</formula>
    </cfRule>
    <cfRule type="expression" dxfId="2963" priority="3400">
      <formula>AND(E17="E6",F17="Y7")</formula>
    </cfRule>
    <cfRule type="expression" dxfId="2962" priority="3401">
      <formula>AND(E17="E6",F17="D1台")</formula>
    </cfRule>
    <cfRule type="expression" dxfId="2961" priority="3402">
      <formula>AND(E17="E6",F17="M台")</formula>
    </cfRule>
    <cfRule type="expression" dxfId="2960" priority="3403">
      <formula>AND(E17="E6",F17="T台")</formula>
    </cfRule>
    <cfRule type="expression" dxfId="2959" priority="3404">
      <formula>AND(E17="E6",F17="M5")</formula>
    </cfRule>
    <cfRule type="expression" dxfId="2958" priority="3405">
      <formula>AND(E17="E6",F17="H5")</formula>
    </cfRule>
    <cfRule type="expression" dxfId="2957" priority="3407">
      <formula>AND(E17="E6",F17="CO☆")</formula>
    </cfRule>
    <cfRule type="expression" dxfId="2956" priority="3408">
      <formula>AND(E17="E6",F17="D▲")</formula>
    </cfRule>
    <cfRule type="expression" dxfId="2955" priority="3409">
      <formula>AND(E17="E6",F17="D△")</formula>
    </cfRule>
    <cfRule type="expression" dxfId="2954" priority="3410">
      <formula>AND(E17="E6",F17="D7")</formula>
    </cfRule>
    <cfRule type="expression" dxfId="2953" priority="3411">
      <formula>AND(E17="E6",F17="D6")</formula>
    </cfRule>
    <cfRule type="expression" dxfId="2952" priority="3412">
      <formula>AND(E17="E6",F17="I3")</formula>
    </cfRule>
    <cfRule type="expression" dxfId="2951" priority="3413">
      <formula>AND(E17="E6",F17="A3")</formula>
    </cfRule>
    <cfRule type="expression" dxfId="2950" priority="3414">
      <formula>AND(E17="E△",F17="Co辦")</formula>
    </cfRule>
    <cfRule type="expression" dxfId="2949" priority="3415">
      <formula>AND(E17="E△",F17="Y7")</formula>
    </cfRule>
    <cfRule type="expression" dxfId="2948" priority="3416">
      <formula>AND(E17="E△",F17="D1台")</formula>
    </cfRule>
    <cfRule type="expression" dxfId="2947" priority="3417">
      <formula>AND(E17="E△",F17="M台")</formula>
    </cfRule>
    <cfRule type="expression" dxfId="2946" priority="3418">
      <formula>AND(E17="E△",F17="T台")</formula>
    </cfRule>
    <cfRule type="expression" dxfId="2945" priority="3419">
      <formula>AND(E17="E△",F17="M5")</formula>
    </cfRule>
    <cfRule type="expression" dxfId="2944" priority="3420">
      <formula>AND(E17="E△",F17="H5")</formula>
    </cfRule>
    <cfRule type="expression" dxfId="2943" priority="3422">
      <formula>AND(E17="E△",F17="CO☆")</formula>
    </cfRule>
    <cfRule type="expression" dxfId="2942" priority="3423">
      <formula>AND(E17="E△",F17="D▲")</formula>
    </cfRule>
    <cfRule type="expression" dxfId="2941" priority="3424">
      <formula>AND(E17="E△",F17="D△")</formula>
    </cfRule>
    <cfRule type="expression" dxfId="2940" priority="3425">
      <formula>AND(E17="E△",F17="D7")</formula>
    </cfRule>
    <cfRule type="expression" dxfId="2939" priority="3426">
      <formula>AND(E17="E△",F17="D6")</formula>
    </cfRule>
    <cfRule type="expression" dxfId="2938" priority="3427">
      <formula>AND(E17="E△",F17="I3")</formula>
    </cfRule>
    <cfRule type="expression" dxfId="2937" priority="3428">
      <formula>AND(E17="E△",F17="A3")</formula>
    </cfRule>
    <cfRule type="expression" dxfId="2936" priority="3430">
      <formula>AND(E17="E▲",F17="Co辦")</formula>
    </cfRule>
    <cfRule type="expression" dxfId="2935" priority="3431">
      <formula>AND(E17="E▲",F17="Y7")</formula>
    </cfRule>
    <cfRule type="expression" dxfId="2934" priority="3432">
      <formula>AND(E17="E▲",F17="D1台")</formula>
    </cfRule>
    <cfRule type="expression" dxfId="2933" priority="3433">
      <formula>AND(E17="E▲",F17="M台")</formula>
    </cfRule>
    <cfRule type="expression" dxfId="2932" priority="3434">
      <formula>AND(E17="E▲",F17="T台")</formula>
    </cfRule>
    <cfRule type="expression" dxfId="2931" priority="3435">
      <formula>AND(E17="E▲",F17="M5")</formula>
    </cfRule>
    <cfRule type="expression" dxfId="2930" priority="3436">
      <formula>AND(E17="E▲",F17="H5")</formula>
    </cfRule>
    <cfRule type="expression" dxfId="2929" priority="3438">
      <formula>AND(E17="E▲",F17="CO☆")</formula>
    </cfRule>
    <cfRule type="expression" dxfId="2928" priority="3439">
      <formula>AND(E17="E▲",F17="D▲")</formula>
    </cfRule>
    <cfRule type="expression" dxfId="2927" priority="3440">
      <formula>AND(E17="E▲",F17="D7")</formula>
    </cfRule>
    <cfRule type="expression" dxfId="2926" priority="3441">
      <formula>AND(E17="E▲",F17="D△")</formula>
    </cfRule>
    <cfRule type="expression" dxfId="2925" priority="3442">
      <formula>AND(E17="E▲",F17="D6")</formula>
    </cfRule>
    <cfRule type="expression" dxfId="2924" priority="3443">
      <formula>AND(E17="E▲",F17="I3")</formula>
    </cfRule>
    <cfRule type="expression" dxfId="2923" priority="3444">
      <formula>AND(E17="E▲",F17="A3")</formula>
    </cfRule>
  </conditionalFormatting>
  <conditionalFormatting sqref="F11:AI11">
    <cfRule type="expression" dxfId="2922" priority="2666">
      <formula>AND(E11="W7",F11="P5")</formula>
    </cfRule>
    <cfRule type="expression" dxfId="2921" priority="2667">
      <formula>AND(E11="E6",F11="P5")</formula>
    </cfRule>
    <cfRule type="expression" dxfId="2920" priority="2668">
      <formula>AND(E11="E△",F11="P5")</formula>
    </cfRule>
    <cfRule type="expression" dxfId="2919" priority="2669">
      <formula>AND(E11="E▲",F11="P5")</formula>
    </cfRule>
    <cfRule type="expression" dxfId="2918" priority="2737">
      <formula>AND(E11="E▲",F11="D1☆")</formula>
    </cfRule>
    <cfRule type="expression" dxfId="2917" priority="2738">
      <formula>AND(E11="E△",F11="D1☆")</formula>
    </cfRule>
    <cfRule type="expression" dxfId="2916" priority="2739">
      <formula>AND(E11="E6",F11="D1☆")</formula>
    </cfRule>
    <cfRule type="expression" dxfId="2915" priority="2740">
      <formula>AND(E11="W7",F11="D1☆")</formula>
    </cfRule>
    <cfRule type="expression" dxfId="2914" priority="2826">
      <formula>AND(E11="W7",F11="D6")</formula>
    </cfRule>
    <cfRule type="expression" dxfId="2913" priority="2827">
      <formula>AND(E11="W7",F11="D7")</formula>
    </cfRule>
    <cfRule type="expression" dxfId="2912" priority="2828">
      <formula>AND(E11="W7",F11="D△")</formula>
    </cfRule>
    <cfRule type="expression" dxfId="2911" priority="2829">
      <formula>AND(E11="W7",F11="D▲")</formula>
    </cfRule>
    <cfRule type="expression" dxfId="2910" priority="2830">
      <formula>AND(E11="W7",F11="CO☆")</formula>
    </cfRule>
    <cfRule type="expression" dxfId="2909" priority="2832">
      <formula>AND(E11="W7",F11="H5")</formula>
    </cfRule>
    <cfRule type="expression" dxfId="2908" priority="2833">
      <formula>AND(E11="W7",F11="M5")</formula>
    </cfRule>
    <cfRule type="expression" dxfId="2907" priority="2834">
      <formula>AND(E11="W7",F11="T台")</formula>
    </cfRule>
    <cfRule type="expression" dxfId="2906" priority="2835">
      <formula>AND(E11="W7",F11="M台")</formula>
    </cfRule>
    <cfRule type="expression" dxfId="2905" priority="2836">
      <formula>AND(E11="W7",F11="D1台")</formula>
    </cfRule>
    <cfRule type="expression" dxfId="2904" priority="2837">
      <formula>AND(E11="W7",F11="Y7")</formula>
    </cfRule>
    <cfRule type="expression" dxfId="2903" priority="2838">
      <formula>AND(E11="W7",F11="Co辦")</formula>
    </cfRule>
    <cfRule type="expression" dxfId="2902" priority="2839">
      <formula>AND(E11="E6",F11="Co辦")</formula>
    </cfRule>
    <cfRule type="expression" dxfId="2901" priority="2840">
      <formula>AND(E11="E6",F11="Y7")</formula>
    </cfRule>
    <cfRule type="expression" dxfId="2900" priority="2841">
      <formula>AND(E11="E6",F11="D1台")</formula>
    </cfRule>
    <cfRule type="expression" dxfId="2899" priority="2842">
      <formula>AND(E11="E6",F11="M台")</formula>
    </cfRule>
    <cfRule type="expression" dxfId="2898" priority="2843">
      <formula>AND(E11="E6",F11="T台")</formula>
    </cfRule>
    <cfRule type="expression" dxfId="2897" priority="2844">
      <formula>AND(E11="E6",F11="M5")</formula>
    </cfRule>
    <cfRule type="expression" dxfId="2896" priority="2845">
      <formula>AND(E11="E6",F11="H5")</formula>
    </cfRule>
    <cfRule type="expression" dxfId="2895" priority="2847">
      <formula>AND(E11="E6",F11="CO☆")</formula>
    </cfRule>
    <cfRule type="expression" dxfId="2894" priority="2848">
      <formula>AND(E11="E6",F11="D▲")</formula>
    </cfRule>
    <cfRule type="expression" dxfId="2893" priority="2849">
      <formula>AND(E11="E6",F11="D△")</formula>
    </cfRule>
    <cfRule type="expression" dxfId="2892" priority="2850">
      <formula>AND(E11="E6",F11="D7")</formula>
    </cfRule>
    <cfRule type="expression" dxfId="2891" priority="2851">
      <formula>AND(E11="E6",F11="D6")</formula>
    </cfRule>
    <cfRule type="expression" dxfId="2890" priority="2852">
      <formula>AND(E11="E6",F11="I3")</formula>
    </cfRule>
    <cfRule type="expression" dxfId="2889" priority="2853">
      <formula>AND(E11="E6",F11="A3")</formula>
    </cfRule>
    <cfRule type="expression" dxfId="2888" priority="2900">
      <formula>AND(E11="E△",F11="Co辦")</formula>
    </cfRule>
    <cfRule type="expression" dxfId="2887" priority="2901">
      <formula>AND(E11="E△",F11="Y7")</formula>
    </cfRule>
    <cfRule type="expression" dxfId="2886" priority="2902">
      <formula>AND(E11="E△",F11="D1台")</formula>
    </cfRule>
    <cfRule type="expression" dxfId="2885" priority="2903">
      <formula>AND(E11="E△",F11="M台")</formula>
    </cfRule>
    <cfRule type="expression" dxfId="2884" priority="2904">
      <formula>AND(E11="E△",F11="T台")</formula>
    </cfRule>
    <cfRule type="expression" dxfId="2883" priority="2905">
      <formula>AND(E11="E△",F11="M5")</formula>
    </cfRule>
    <cfRule type="expression" dxfId="2882" priority="2906">
      <formula>AND(E11="E△",F11="H5")</formula>
    </cfRule>
    <cfRule type="expression" dxfId="2881" priority="2908">
      <formula>AND(E11="E△",F11="CO☆")</formula>
    </cfRule>
    <cfRule type="expression" dxfId="2880" priority="2909">
      <formula>AND(E11="E△",F11="D▲")</formula>
    </cfRule>
    <cfRule type="expression" dxfId="2879" priority="2910">
      <formula>AND(E11="E△",F11="D△")</formula>
    </cfRule>
    <cfRule type="expression" dxfId="2878" priority="2911">
      <formula>AND(E11="E△",F11="D7")</formula>
    </cfRule>
    <cfRule type="expression" dxfId="2877" priority="2912">
      <formula>AND(E11="E△",F11="D6")</formula>
    </cfRule>
    <cfRule type="expression" dxfId="2876" priority="2913">
      <formula>AND(E11="E△",F11="I3")</formula>
    </cfRule>
    <cfRule type="expression" dxfId="2875" priority="2914">
      <formula>AND(E11="E△",F11="A3")</formula>
    </cfRule>
    <cfRule type="expression" dxfId="2874" priority="2959">
      <formula>AND(E11="E▲",F11="Co辦")</formula>
    </cfRule>
    <cfRule type="expression" dxfId="2873" priority="2960">
      <formula>AND(E11="E▲",F11="Y7")</formula>
    </cfRule>
    <cfRule type="expression" dxfId="2872" priority="2961">
      <formula>AND(E11="E▲",F11="D1台")</formula>
    </cfRule>
    <cfRule type="expression" dxfId="2871" priority="2962">
      <formula>AND(E11="E▲",F11="M台")</formula>
    </cfRule>
    <cfRule type="expression" dxfId="2870" priority="2963">
      <formula>AND(E11="E▲",F11="T台")</formula>
    </cfRule>
    <cfRule type="expression" dxfId="2869" priority="2964">
      <formula>AND(E11="E▲",F11="M5")</formula>
    </cfRule>
    <cfRule type="expression" dxfId="2868" priority="2965">
      <formula>AND(E11="E▲",F11="H7")</formula>
    </cfRule>
    <cfRule type="expression" dxfId="2867" priority="2967">
      <formula>AND(E11="E▲",F11="CO☆")</formula>
    </cfRule>
    <cfRule type="expression" dxfId="2866" priority="2968">
      <formula>AND(E11="E▲",F11="D▲")</formula>
    </cfRule>
    <cfRule type="expression" dxfId="2865" priority="2969">
      <formula>AND(E11="E▲",F11="D△")</formula>
    </cfRule>
    <cfRule type="expression" dxfId="2864" priority="2970">
      <formula>AND(E11="E▲",F11="D7")</formula>
    </cfRule>
    <cfRule type="expression" dxfId="2863" priority="2971">
      <formula>AND(E11="E▲",F11="D6")</formula>
    </cfRule>
    <cfRule type="expression" dxfId="2862" priority="2972">
      <formula>AND(E11="E▲",F11="I3")</formula>
    </cfRule>
    <cfRule type="expression" dxfId="2861" priority="2973">
      <formula>AND(E11="E▲",F11="A3")</formula>
    </cfRule>
  </conditionalFormatting>
  <conditionalFormatting sqref="F12:AI12">
    <cfRule type="expression" dxfId="2860" priority="2662">
      <formula>AND(E12="W7",F12="P5")</formula>
    </cfRule>
    <cfRule type="expression" dxfId="2859" priority="2663">
      <formula>AND(E12="E6",F12="P5")</formula>
    </cfRule>
    <cfRule type="expression" dxfId="2858" priority="2664">
      <formula>AND(E12="E△",F12="P5")</formula>
    </cfRule>
    <cfRule type="expression" dxfId="2857" priority="2665">
      <formula>AND(E12="E▲",F12="P5")</formula>
    </cfRule>
    <cfRule type="expression" dxfId="2856" priority="2733">
      <formula>AND(E12="E▲",F12="D1☆")</formula>
    </cfRule>
    <cfRule type="expression" dxfId="2855" priority="2734">
      <formula>AND(E12="E△",F12="D1☆")</formula>
    </cfRule>
    <cfRule type="expression" dxfId="2854" priority="2735">
      <formula>AND(E12="W7",F12="D1☆")</formula>
    </cfRule>
    <cfRule type="expression" dxfId="2853" priority="2736">
      <formula>AND(E12="E6",F12="D1☆")</formula>
    </cfRule>
    <cfRule type="expression" dxfId="2852" priority="2798">
      <formula>AND(E12="E6",F12="A3")</formula>
    </cfRule>
    <cfRule type="expression" dxfId="2851" priority="2799">
      <formula>AND(E12="E6",F12="I3")</formula>
    </cfRule>
    <cfRule type="expression" dxfId="2850" priority="2800">
      <formula>AND(E12="E6",F12="D6")</formula>
    </cfRule>
    <cfRule type="expression" dxfId="2849" priority="2801">
      <formula>AND(E12="E6",F12="D7")</formula>
    </cfRule>
    <cfRule type="expression" dxfId="2848" priority="2802">
      <formula>AND(E12="E6",F12="D△")</formula>
    </cfRule>
    <cfRule type="expression" dxfId="2847" priority="2803">
      <formula>AND(E12="E6",F12="D▲")</formula>
    </cfRule>
    <cfRule type="expression" dxfId="2846" priority="2804">
      <formula>AND(E12="E6",F12="CO☆")</formula>
    </cfRule>
    <cfRule type="expression" dxfId="2845" priority="2806">
      <formula>AND(E12="E6",F12="H5")</formula>
    </cfRule>
    <cfRule type="expression" dxfId="2844" priority="2807">
      <formula>AND(E12="E6",F12="M5")</formula>
    </cfRule>
    <cfRule type="expression" dxfId="2843" priority="2808">
      <formula>AND(E12="E6",F12="T台")</formula>
    </cfRule>
    <cfRule type="expression" dxfId="2842" priority="2809">
      <formula>AND(E12="E6",F12="M台")</formula>
    </cfRule>
    <cfRule type="expression" dxfId="2841" priority="2810">
      <formula>AND(E12="E6",F12="D1台")</formula>
    </cfRule>
    <cfRule type="expression" dxfId="2840" priority="2811">
      <formula>AND(E12="E6",F12="Y7")</formula>
    </cfRule>
    <cfRule type="expression" dxfId="2839" priority="2812">
      <formula>AND(E12="E6",F12="Co辦")</formula>
    </cfRule>
    <cfRule type="expression" dxfId="2838" priority="2813">
      <formula>AND(E12="W7",F12="Co辦")</formula>
    </cfRule>
    <cfRule type="expression" dxfId="2837" priority="2814">
      <formula>AND(E12="W7",F12="Y7")</formula>
    </cfRule>
    <cfRule type="expression" dxfId="2836" priority="2815">
      <formula>AND(E12="W7",F12="D1台")</formula>
    </cfRule>
    <cfRule type="expression" dxfId="2835" priority="2816">
      <formula>AND(E12="W7",F12="M台")</formula>
    </cfRule>
    <cfRule type="expression" dxfId="2834" priority="2817">
      <formula>AND(E12="W7",F12="T台")</formula>
    </cfRule>
    <cfRule type="expression" dxfId="2833" priority="2818">
      <formula>AND(E12="W7",F12="M5")</formula>
    </cfRule>
    <cfRule type="expression" dxfId="2832" priority="2819">
      <formula>AND(E12="W7",F12="H5")</formula>
    </cfRule>
    <cfRule type="expression" dxfId="2831" priority="2821">
      <formula>AND(E12="W7",F12="CO☆")</formula>
    </cfRule>
    <cfRule type="expression" dxfId="2830" priority="2822">
      <formula>AND(E12="W7",F12="D▲")</formula>
    </cfRule>
    <cfRule type="expression" dxfId="2829" priority="2823">
      <formula>AND(E12="W7",F12="D△")</formula>
    </cfRule>
    <cfRule type="expression" dxfId="2828" priority="2824">
      <formula>AND(E12="W7",F12="D7")</formula>
    </cfRule>
    <cfRule type="expression" dxfId="2827" priority="2825">
      <formula>AND(E12="W7",F12="D6")</formula>
    </cfRule>
    <cfRule type="expression" dxfId="2826" priority="2885">
      <formula>AND(E12="E△",F12="D6")</formula>
    </cfRule>
    <cfRule type="expression" dxfId="2825" priority="2886">
      <formula>AND(E12="E△",F12="A3")</formula>
    </cfRule>
    <cfRule type="expression" dxfId="2824" priority="2887">
      <formula>AND(E12="E△",F12="I3")</formula>
    </cfRule>
    <cfRule type="expression" dxfId="2823" priority="2888">
      <formula>AND(E12="E△",F12="D7")</formula>
    </cfRule>
    <cfRule type="expression" dxfId="2822" priority="2889">
      <formula>AND(E12="E△",F12="D△")</formula>
    </cfRule>
    <cfRule type="expression" dxfId="2821" priority="2890">
      <formula>AND(E12="E△",F12="D▲")</formula>
    </cfRule>
    <cfRule type="expression" dxfId="2820" priority="2891">
      <formula>AND(E12="E△",F12="CO☆")</formula>
    </cfRule>
    <cfRule type="expression" dxfId="2819" priority="2893">
      <formula>AND(E12="E△",F12="H5")</formula>
    </cfRule>
    <cfRule type="expression" dxfId="2818" priority="2894">
      <formula>AND(E12="E△",F12="M5")</formula>
    </cfRule>
    <cfRule type="expression" dxfId="2817" priority="2895">
      <formula>AND(E12="E△",F12="T台")</formula>
    </cfRule>
    <cfRule type="expression" dxfId="2816" priority="2896">
      <formula>AND(E12="E△",F12="M台")</formula>
    </cfRule>
    <cfRule type="expression" dxfId="2815" priority="2897">
      <formula>AND(E12="E△",F12="D1台")</formula>
    </cfRule>
    <cfRule type="expression" dxfId="2814" priority="2898">
      <formula>AND(E12="E△",F12="Y7")</formula>
    </cfRule>
    <cfRule type="expression" dxfId="2813" priority="2899">
      <formula>AND(E12="E△",F12="Co辦")</formula>
    </cfRule>
    <cfRule type="expression" dxfId="2812" priority="2944">
      <formula>AND(E12="E▲",F12="A3")</formula>
    </cfRule>
    <cfRule type="expression" dxfId="2811" priority="2945">
      <formula>AND(E12="E▲",F12="I3")</formula>
    </cfRule>
    <cfRule type="expression" dxfId="2810" priority="2946">
      <formula>AND(E12="E▲",F12="D6")</formula>
    </cfRule>
    <cfRule type="expression" dxfId="2809" priority="2947">
      <formula>AND(E12="E▲",F12="D7")</formula>
    </cfRule>
    <cfRule type="expression" dxfId="2808" priority="2948">
      <formula>AND(E12="E▲",F12="D△")</formula>
    </cfRule>
    <cfRule type="expression" dxfId="2807" priority="2949">
      <formula>AND(E12="E▲",F12="D▲")</formula>
    </cfRule>
    <cfRule type="expression" dxfId="2806" priority="2950">
      <formula>AND(E12="E▲",F12="CO☆")</formula>
    </cfRule>
    <cfRule type="expression" dxfId="2805" priority="2952">
      <formula>AND(E12="E▲",F12="H5")</formula>
    </cfRule>
    <cfRule type="expression" dxfId="2804" priority="2953">
      <formula>AND(E12="E▲",F12="M5")</formula>
    </cfRule>
    <cfRule type="expression" dxfId="2803" priority="2954">
      <formula>AND(E12="E▲",F12="T台")</formula>
    </cfRule>
    <cfRule type="expression" dxfId="2802" priority="2955">
      <formula>AND(E12="E▲",F12="M台")</formula>
    </cfRule>
    <cfRule type="expression" dxfId="2801" priority="2956">
      <formula>AND(E12="E▲",F12="D1台")</formula>
    </cfRule>
    <cfRule type="expression" dxfId="2800" priority="2957">
      <formula>AND(E12="E▲",F12="Y7")</formula>
    </cfRule>
    <cfRule type="expression" dxfId="2799" priority="2958">
      <formula>AND(E12="E▲",F12="Co辦")</formula>
    </cfRule>
  </conditionalFormatting>
  <conditionalFormatting sqref="F24:AI24">
    <cfRule type="expression" dxfId="2798" priority="2610">
      <formula>AND(E24="W7",F24="P5")</formula>
    </cfRule>
    <cfRule type="expression" dxfId="2797" priority="2611">
      <formula>AND(E24="E6",F24="P5")</formula>
    </cfRule>
    <cfRule type="expression" dxfId="2796" priority="2612">
      <formula>AND(E24="E△",F24="P5")</formula>
    </cfRule>
    <cfRule type="expression" dxfId="2795" priority="2613">
      <formula>AND(E24="E▲",F24="P5")</formula>
    </cfRule>
    <cfRule type="expression" dxfId="2794" priority="2681">
      <formula>AND(E24="E▲",F24="D1☆")</formula>
    </cfRule>
    <cfRule type="expression" dxfId="2793" priority="2682">
      <formula>AND(E24="E△",F24="D1☆")</formula>
    </cfRule>
    <cfRule type="expression" dxfId="2792" priority="2683">
      <formula>AND(E24="E",F24="D1☆")</formula>
    </cfRule>
    <cfRule type="expression" dxfId="2791" priority="2684">
      <formula>AND(E24="W6",F24="D1☆")</formula>
    </cfRule>
    <cfRule type="expression" dxfId="2790" priority="2770">
      <formula>AND(E24="W6",F24="D")</formula>
    </cfRule>
    <cfRule type="expression" dxfId="2789" priority="2771">
      <formula>AND(E24="W6",F24="Dx")</formula>
    </cfRule>
    <cfRule type="expression" dxfId="2788" priority="2772">
      <formula>AND(E24="W6",F24="D△")</formula>
    </cfRule>
    <cfRule type="expression" dxfId="2787" priority="2773">
      <formula>AND(E24="W6",F24="D▲")</formula>
    </cfRule>
    <cfRule type="expression" dxfId="2786" priority="2774">
      <formula>AND(E24="W6",F24="CO☆")</formula>
    </cfRule>
    <cfRule type="expression" dxfId="2785" priority="2776">
      <formula>AND(E24="W6",F24="H7")</formula>
    </cfRule>
    <cfRule type="expression" dxfId="2784" priority="2777">
      <formula>AND(E24="W6",F24="M7")</formula>
    </cfRule>
    <cfRule type="expression" dxfId="2783" priority="2778">
      <formula>AND(E24="W6",F24="T台")</formula>
    </cfRule>
    <cfRule type="expression" dxfId="2782" priority="2779">
      <formula>AND(E24="W6",F24="M台")</formula>
    </cfRule>
    <cfRule type="expression" dxfId="2781" priority="2780">
      <formula>AND(E24="W6",F24="D1台")</formula>
    </cfRule>
    <cfRule type="expression" dxfId="2780" priority="2781">
      <formula>AND(E24="W6",F24="Y6")</formula>
    </cfRule>
    <cfRule type="expression" dxfId="2779" priority="2782">
      <formula>AND(E24="W6",F24="Co辦")</formula>
    </cfRule>
    <cfRule type="expression" dxfId="2778" priority="2783">
      <formula>AND(E24="E",F24="Co辦")</formula>
    </cfRule>
    <cfRule type="expression" dxfId="2777" priority="2784">
      <formula>AND(E24="E",F24="Y6")</formula>
    </cfRule>
    <cfRule type="expression" dxfId="2776" priority="2785">
      <formula>AND(E24="E",F24="D1台")</formula>
    </cfRule>
    <cfRule type="expression" dxfId="2775" priority="2786">
      <formula>AND(E24="E",F24="M台")</formula>
    </cfRule>
    <cfRule type="expression" dxfId="2774" priority="2787">
      <formula>AND(E24="E",F24="T台")</formula>
    </cfRule>
    <cfRule type="expression" dxfId="2773" priority="2788">
      <formula>AND(E24="E",F24="M7")</formula>
    </cfRule>
    <cfRule type="expression" dxfId="2772" priority="2789">
      <formula>AND(E24="E",F24="H7")</formula>
    </cfRule>
    <cfRule type="expression" dxfId="2771" priority="2791">
      <formula>AND(E24="E",F24="CO☆")</formula>
    </cfRule>
    <cfRule type="expression" dxfId="2770" priority="2792">
      <formula>AND(E24="E",F24="D▲")</formula>
    </cfRule>
    <cfRule type="expression" dxfId="2769" priority="2793">
      <formula>AND(E24="E",F24="D△")</formula>
    </cfRule>
    <cfRule type="expression" dxfId="2768" priority="2794">
      <formula>AND(E24="E",F24="Dx")</formula>
    </cfRule>
    <cfRule type="expression" dxfId="2767" priority="2795">
      <formula>AND(E24="E",F24="D")</formula>
    </cfRule>
    <cfRule type="expression" dxfId="2766" priority="2796">
      <formula>AND(E24="E",F24="I3")</formula>
    </cfRule>
    <cfRule type="expression" dxfId="2765" priority="2797">
      <formula>AND(E24="E",F24="A")</formula>
    </cfRule>
    <cfRule type="expression" dxfId="2764" priority="2869">
      <formula>AND(E24="E△",F24="Co辦")</formula>
    </cfRule>
    <cfRule type="expression" dxfId="2763" priority="2870">
      <formula>AND(E24="E△",F24="Y6")</formula>
    </cfRule>
    <cfRule type="expression" dxfId="2762" priority="2871">
      <formula>AND(E24="E△",F24="D1台")</formula>
    </cfRule>
    <cfRule type="expression" dxfId="2761" priority="2872">
      <formula>AND(E24="E△",F24="M台")</formula>
    </cfRule>
    <cfRule type="expression" dxfId="2760" priority="2873">
      <formula>AND(E24="E△",F24="T台")</formula>
    </cfRule>
    <cfRule type="expression" dxfId="2759" priority="2874">
      <formula>AND(E24="E△",F24="M7")</formula>
    </cfRule>
    <cfRule type="expression" dxfId="2758" priority="2875">
      <formula>AND(E24="E△",F24="H7")</formula>
    </cfRule>
    <cfRule type="expression" dxfId="2757" priority="2878">
      <formula>AND(E24="E△",F24="CO☆")</formula>
    </cfRule>
    <cfRule type="expression" dxfId="2756" priority="2879">
      <formula>AND(E24="E△",F24="D▲")</formula>
    </cfRule>
    <cfRule type="expression" dxfId="2755" priority="2880">
      <formula>AND(E24="E△",F24="D△")</formula>
    </cfRule>
    <cfRule type="expression" dxfId="2754" priority="2881">
      <formula>AND(E24="E△",F24="Dx")</formula>
    </cfRule>
    <cfRule type="expression" dxfId="2753" priority="2882">
      <formula>AND(E24="E△",F24="I3")</formula>
    </cfRule>
    <cfRule type="expression" dxfId="2752" priority="2883">
      <formula>AND(E24="E△",F24="A")</formula>
    </cfRule>
    <cfRule type="expression" dxfId="2751" priority="2884">
      <formula>AND(E24="E△",F24="D")</formula>
    </cfRule>
    <cfRule type="expression" dxfId="2750" priority="2929">
      <formula>AND(E24="E▲",F24="D1台")</formula>
    </cfRule>
    <cfRule type="expression" dxfId="2749" priority="2930">
      <formula>AND(E24="E▲",F24="Co辦")</formula>
    </cfRule>
    <cfRule type="expression" dxfId="2748" priority="2931">
      <formula>AND(E24="E▲",F24="Y6")</formula>
    </cfRule>
    <cfRule type="expression" dxfId="2747" priority="2932">
      <formula>AND(E24="E▲",F24="M台")</formula>
    </cfRule>
    <cfRule type="expression" dxfId="2746" priority="2933">
      <formula>AND(E24="E▲",F24="T台")</formula>
    </cfRule>
    <cfRule type="expression" dxfId="2745" priority="2934">
      <formula>AND(E24="E▲",F24="M7")</formula>
    </cfRule>
    <cfRule type="expression" dxfId="2744" priority="2935">
      <formula>AND(E24="E▲",F24="H7")</formula>
    </cfRule>
    <cfRule type="expression" dxfId="2743" priority="2937">
      <formula>AND(E24="E▲",F24="CO☆")</formula>
    </cfRule>
    <cfRule type="expression" dxfId="2742" priority="2938">
      <formula>AND(E24="E▲",F24="D▲")</formula>
    </cfRule>
    <cfRule type="expression" dxfId="2741" priority="2939">
      <formula>AND(E24="E▲",F24="D△")</formula>
    </cfRule>
    <cfRule type="expression" dxfId="2740" priority="2940">
      <formula>AND(E24="E▲",F24="Dx")</formula>
    </cfRule>
    <cfRule type="expression" dxfId="2739" priority="2941">
      <formula>AND(E24="E▲",F24="D")</formula>
    </cfRule>
    <cfRule type="expression" dxfId="2738" priority="2942">
      <formula>AND(E24="E▲",F24="I3")</formula>
    </cfRule>
    <cfRule type="expression" dxfId="2737" priority="2943">
      <formula>AND(E24="E▲",F24="A")</formula>
    </cfRule>
  </conditionalFormatting>
  <conditionalFormatting sqref="F25:AI25">
    <cfRule type="expression" dxfId="2736" priority="2606">
      <formula>AND(E25="W7",F25="P5")</formula>
    </cfRule>
    <cfRule type="expression" dxfId="2735" priority="2607">
      <formula>AND(E25="E6",F25="P5")</formula>
    </cfRule>
    <cfRule type="expression" dxfId="2734" priority="2608">
      <formula>AND(E25="E△",F25="P5")</formula>
    </cfRule>
    <cfRule type="expression" dxfId="2733" priority="2609">
      <formula>AND(E25="E▲",F25="P5")</formula>
    </cfRule>
    <cfRule type="expression" dxfId="2732" priority="2677">
      <formula>AND(E25="E△",F25="D1☆")</formula>
    </cfRule>
    <cfRule type="expression" dxfId="2731" priority="2678">
      <formula>AND(E25="E6",F25="D1☆")</formula>
    </cfRule>
    <cfRule type="expression" dxfId="2730" priority="2679">
      <formula>AND(E25="W7",F25="D1☆")</formula>
    </cfRule>
    <cfRule type="expression" dxfId="2729" priority="2680">
      <formula>AND(E25="E▲",F25="D1☆")</formula>
    </cfRule>
    <cfRule type="expression" dxfId="2728" priority="2741">
      <formula>AND(E25="E▲",F25="I3")</formula>
    </cfRule>
    <cfRule type="expression" dxfId="2727" priority="2742">
      <formula>AND(E25="W7",F25="D")</formula>
    </cfRule>
    <cfRule type="expression" dxfId="2726" priority="2743">
      <formula>AND(E25="W7",F25="Dx")</formula>
    </cfRule>
    <cfRule type="expression" dxfId="2725" priority="2744">
      <formula>AND(E25="W7",F25="D△")</formula>
    </cfRule>
    <cfRule type="expression" dxfId="2724" priority="2745">
      <formula>AND(E25="W7",F25="D▲")</formula>
    </cfRule>
    <cfRule type="expression" dxfId="2723" priority="2746">
      <formula>AND(E25="W7",F25="CO☆")</formula>
    </cfRule>
    <cfRule type="expression" dxfId="2722" priority="2748">
      <formula>AND(E25="W7",F25="H7")</formula>
    </cfRule>
    <cfRule type="expression" dxfId="2721" priority="2749">
      <formula>AND(E25="W7",F25="M7")</formula>
    </cfRule>
    <cfRule type="expression" dxfId="2720" priority="2750">
      <formula>AND(E25="W7",F25="T台")</formula>
    </cfRule>
    <cfRule type="expression" dxfId="2719" priority="2751">
      <formula>AND(E25="W7",F25="M台")</formula>
    </cfRule>
    <cfRule type="expression" dxfId="2718" priority="2752">
      <formula>AND(E25="W7",F25="D1台")</formula>
    </cfRule>
    <cfRule type="expression" dxfId="2717" priority="2753">
      <formula>AND(E25="W7",F25="Y6")</formula>
    </cfRule>
    <cfRule type="expression" dxfId="2716" priority="2754">
      <formula>AND(E25="W7",F25="Co辦")</formula>
    </cfRule>
    <cfRule type="expression" dxfId="2715" priority="2755">
      <formula>AND(E25="E6",F25="Co辦")</formula>
    </cfRule>
    <cfRule type="expression" dxfId="2714" priority="2756">
      <formula>AND(E25="E6",F25="Y6")</formula>
    </cfRule>
    <cfRule type="expression" dxfId="2713" priority="2757">
      <formula>AND(E25="E6",F25="D1台")</formula>
    </cfRule>
    <cfRule type="expression" dxfId="2712" priority="2758">
      <formula>AND(E25="E6",F25="M台")</formula>
    </cfRule>
    <cfRule type="expression" dxfId="2711" priority="2759">
      <formula>AND(E25="E6",F25="T台")</formula>
    </cfRule>
    <cfRule type="expression" dxfId="2710" priority="2760">
      <formula>AND(E25="E6",F25="M7")</formula>
    </cfRule>
    <cfRule type="expression" dxfId="2709" priority="2761">
      <formula>AND(E25="E6",F25="H7")</formula>
    </cfRule>
    <cfRule type="expression" dxfId="2708" priority="2763">
      <formula>AND(E25="E6",F25="CO☆")</formula>
    </cfRule>
    <cfRule type="expression" dxfId="2707" priority="2764">
      <formula>AND(E25="E6",F25="D▲")</formula>
    </cfRule>
    <cfRule type="expression" dxfId="2706" priority="2765">
      <formula>AND(E25="E6",F25="D△")</formula>
    </cfRule>
    <cfRule type="expression" dxfId="2705" priority="2766">
      <formula>AND(E25="E6",F25="Dx")</formula>
    </cfRule>
    <cfRule type="expression" dxfId="2704" priority="2767">
      <formula>AND(E25="E6",F25="D")</formula>
    </cfRule>
    <cfRule type="expression" dxfId="2703" priority="2768">
      <formula>AND(E25="E6",F25="I3")</formula>
    </cfRule>
    <cfRule type="expression" dxfId="2702" priority="2769">
      <formula>AND(E25="E6",F25="A")</formula>
    </cfRule>
    <cfRule type="expression" dxfId="2701" priority="2854">
      <formula>AND(E25="E△",F25="D")</formula>
    </cfRule>
    <cfRule type="expression" dxfId="2700" priority="2855">
      <formula>AND(E25="E△",F25="A")</formula>
    </cfRule>
    <cfRule type="expression" dxfId="2699" priority="2856">
      <formula>AND(E25="E△",F25="I3")</formula>
    </cfRule>
    <cfRule type="expression" dxfId="2698" priority="2857">
      <formula>AND(E25="E△",F25="Dx")</formula>
    </cfRule>
    <cfRule type="expression" dxfId="2697" priority="2858">
      <formula>AND(E25="E△",F25="D△")</formula>
    </cfRule>
    <cfRule type="expression" dxfId="2696" priority="2859">
      <formula>AND(E25="E△",F25="D▲")</formula>
    </cfRule>
    <cfRule type="expression" dxfId="2695" priority="2860">
      <formula>AND(E25="E△",F25="CO☆")</formula>
    </cfRule>
    <cfRule type="expression" dxfId="2694" priority="2862">
      <formula>AND(E25="E△",F25="H7")</formula>
    </cfRule>
    <cfRule type="expression" dxfId="2693" priority="2863">
      <formula>AND(E25="E△",F25="M7")</formula>
    </cfRule>
    <cfRule type="expression" dxfId="2692" priority="2864">
      <formula>AND(E25="E△",F25="T台")</formula>
    </cfRule>
    <cfRule type="expression" dxfId="2691" priority="2865">
      <formula>AND(E25="E△",F25="M台")</formula>
    </cfRule>
    <cfRule type="expression" dxfId="2690" priority="2866">
      <formula>AND(E25="E△",F25="D1台")</formula>
    </cfRule>
    <cfRule type="expression" dxfId="2689" priority="2867">
      <formula>AND(E25="E△",F25="Y6")</formula>
    </cfRule>
    <cfRule type="expression" dxfId="2688" priority="2868">
      <formula>AND(E25="E△",F25="Co辦")</formula>
    </cfRule>
    <cfRule type="expression" dxfId="2687" priority="2915">
      <formula>AND(E25="E▲",F25="A")</formula>
    </cfRule>
    <cfRule type="expression" dxfId="2686" priority="2916">
      <formula>AND(E25="E▲",F25="D")</formula>
    </cfRule>
    <cfRule type="expression" dxfId="2685" priority="2917">
      <formula>AND(E25="E▲",F25="Dx")</formula>
    </cfRule>
    <cfRule type="expression" dxfId="2684" priority="2918">
      <formula>AND(E25="E▲",F25="D△")</formula>
    </cfRule>
    <cfRule type="expression" dxfId="2683" priority="2919">
      <formula>AND(E25="E▲",F25="D▲")</formula>
    </cfRule>
    <cfRule type="expression" dxfId="2682" priority="2920">
      <formula>AND(E25="E▲",F25="CO☆")</formula>
    </cfRule>
    <cfRule type="expression" dxfId="2681" priority="2922">
      <formula>AND(E25="E▲",F25="H7")</formula>
    </cfRule>
    <cfRule type="expression" dxfId="2680" priority="2923">
      <formula>AND(E25="E▲",F25="M7")</formula>
    </cfRule>
    <cfRule type="expression" dxfId="2679" priority="2924">
      <formula>AND(E25="E▲",F25="T台")</formula>
    </cfRule>
    <cfRule type="expression" dxfId="2678" priority="2925">
      <formula>AND(E25="E▲",F25="M台")</formula>
    </cfRule>
    <cfRule type="expression" dxfId="2677" priority="2926">
      <formula>AND(E25="E▲",F25="Y6")</formula>
    </cfRule>
    <cfRule type="expression" dxfId="2676" priority="2927">
      <formula>AND(E25="E▲",F25="Co辦")</formula>
    </cfRule>
    <cfRule type="expression" dxfId="2675" priority="2928">
      <formula>AND(E25="E▲",F25="D1台")</formula>
    </cfRule>
  </conditionalFormatting>
  <conditionalFormatting sqref="AN13">
    <cfRule type="cellIs" dxfId="2674" priority="2673" operator="greaterThanOrEqual">
      <formula>3</formula>
    </cfRule>
    <cfRule type="cellIs" dxfId="2673" priority="2674" operator="greaterThan">
      <formula>3</formula>
    </cfRule>
    <cfRule type="colorScale" priority="2675">
      <colorScale>
        <cfvo type="min"/>
        <cfvo type="max"/>
        <color theme="0"/>
        <color theme="0"/>
      </colorScale>
    </cfRule>
  </conditionalFormatting>
  <conditionalFormatting sqref="AN14">
    <cfRule type="cellIs" dxfId="2672" priority="2672" operator="greaterThanOrEqual">
      <formula>3</formula>
    </cfRule>
  </conditionalFormatting>
  <conditionalFormatting sqref="AN13:AO23">
    <cfRule type="cellIs" dxfId="2671" priority="2671" operator="greaterThanOrEqual">
      <formula>3</formula>
    </cfRule>
  </conditionalFormatting>
  <conditionalFormatting sqref="J14">
    <cfRule type="expression" dxfId="2603" priority="2543">
      <formula>AND(I14="W7",J14="P5")</formula>
    </cfRule>
    <cfRule type="expression" dxfId="2602" priority="2544">
      <formula>AND(I14="E6",J14="P5")</formula>
    </cfRule>
    <cfRule type="expression" dxfId="2601" priority="2545">
      <formula>AND(I14="E△",J14="P5")</formula>
    </cfRule>
    <cfRule type="expression" dxfId="2600" priority="2546">
      <formula>AND(I14="E▲",J14="P5")</formula>
    </cfRule>
    <cfRule type="expression" dxfId="2599" priority="2547">
      <formula>AND(I14="E▲",J14="D1☆")</formula>
    </cfRule>
    <cfRule type="expression" dxfId="2598" priority="2548">
      <formula>AND(I14="E△",J14="D1☆")</formula>
    </cfRule>
    <cfRule type="expression" dxfId="2597" priority="2549">
      <formula>AND(I14="E6",J14="D1☆")</formula>
    </cfRule>
    <cfRule type="expression" dxfId="2596" priority="2550">
      <formula>AND(I14="W7",J14="D1☆")</formula>
    </cfRule>
    <cfRule type="expression" dxfId="2595" priority="2551">
      <formula>AND(I14="W7",J14="D6")</formula>
    </cfRule>
    <cfRule type="expression" dxfId="2594" priority="2552">
      <formula>AND(I14="W7",J14="D7")</formula>
    </cfRule>
    <cfRule type="expression" dxfId="2593" priority="2553">
      <formula>AND(I14="W7",J14="D△")</formula>
    </cfRule>
    <cfRule type="expression" dxfId="2592" priority="2554">
      <formula>AND(I14="W7",J14="D▲")</formula>
    </cfRule>
    <cfRule type="expression" dxfId="2591" priority="2555">
      <formula>AND(I14="W7",J14="CO☆")</formula>
    </cfRule>
    <cfRule type="expression" dxfId="2590" priority="2556">
      <formula>AND(I14="W7",J14="H5")</formula>
    </cfRule>
    <cfRule type="expression" dxfId="2589" priority="2557">
      <formula>AND(I14="W7",J14="M5")</formula>
    </cfRule>
    <cfRule type="expression" dxfId="2588" priority="2558">
      <formula>AND(I14="W7",J14="T台")</formula>
    </cfRule>
    <cfRule type="expression" dxfId="2587" priority="2559">
      <formula>AND(I14="W7",J14="M台")</formula>
    </cfRule>
    <cfRule type="expression" dxfId="2586" priority="2560">
      <formula>AND(I14="W7",J14="D1台")</formula>
    </cfRule>
    <cfRule type="expression" dxfId="2585" priority="2561">
      <formula>AND(I14="W7",J14="Y7")</formula>
    </cfRule>
    <cfRule type="expression" dxfId="2584" priority="2562">
      <formula>AND(I14="W7",J14="Co辦")</formula>
    </cfRule>
    <cfRule type="expression" dxfId="2583" priority="2563">
      <formula>AND(I14="E6",J14="Co辦")</formula>
    </cfRule>
    <cfRule type="expression" dxfId="2582" priority="2564">
      <formula>AND(I14="E6",J14="Y7")</formula>
    </cfRule>
    <cfRule type="expression" dxfId="2581" priority="2565">
      <formula>AND(I14="E6",J14="D1台")</formula>
    </cfRule>
    <cfRule type="expression" dxfId="2580" priority="2566">
      <formula>AND(I14="E6",J14="M台")</formula>
    </cfRule>
    <cfRule type="expression" dxfId="2579" priority="2567">
      <formula>AND(I14="E6",J14="T台")</formula>
    </cfRule>
    <cfRule type="expression" dxfId="2578" priority="2568">
      <formula>AND(I14="E6",J14="M5")</formula>
    </cfRule>
    <cfRule type="expression" dxfId="2577" priority="2569">
      <formula>AND(I14="E6",J14="H5")</formula>
    </cfRule>
    <cfRule type="expression" dxfId="2576" priority="2570">
      <formula>AND(I14="E6",J14="CO☆")</formula>
    </cfRule>
    <cfRule type="expression" dxfId="2575" priority="2571">
      <formula>AND(I14="E6",J14="D▲")</formula>
    </cfRule>
    <cfRule type="expression" dxfId="2574" priority="2572">
      <formula>AND(I14="E6",J14="D△")</formula>
    </cfRule>
    <cfRule type="expression" dxfId="2573" priority="2573">
      <formula>AND(I14="E6",J14="D7")</formula>
    </cfRule>
    <cfRule type="expression" dxfId="2572" priority="2574">
      <formula>AND(I14="E6",J14="D6")</formula>
    </cfRule>
    <cfRule type="expression" dxfId="2571" priority="2575">
      <formula>AND(I14="E6",J14="I3")</formula>
    </cfRule>
    <cfRule type="expression" dxfId="2570" priority="2576">
      <formula>AND(I14="E6",J14="A3")</formula>
    </cfRule>
    <cfRule type="expression" dxfId="2569" priority="2577">
      <formula>AND(I14="E△",J14="Co辦")</formula>
    </cfRule>
    <cfRule type="expression" dxfId="2568" priority="2578">
      <formula>AND(I14="E△",J14="Y7")</formula>
    </cfRule>
    <cfRule type="expression" dxfId="2567" priority="2579">
      <formula>AND(I14="E△",J14="D1台")</formula>
    </cfRule>
    <cfRule type="expression" dxfId="2566" priority="2580">
      <formula>AND(I14="E△",J14="M台")</formula>
    </cfRule>
    <cfRule type="expression" dxfId="2565" priority="2581">
      <formula>AND(I14="E△",J14="T台")</formula>
    </cfRule>
    <cfRule type="expression" dxfId="2564" priority="2582">
      <formula>AND(I14="E△",J14="M5")</formula>
    </cfRule>
    <cfRule type="expression" dxfId="2563" priority="2583">
      <formula>AND(I14="E△",J14="H5")</formula>
    </cfRule>
    <cfRule type="expression" dxfId="2562" priority="2584">
      <formula>AND(I14="E△",J14="CO☆")</formula>
    </cfRule>
    <cfRule type="expression" dxfId="2561" priority="2585">
      <formula>AND(I14="E△",J14="D▲")</formula>
    </cfRule>
    <cfRule type="expression" dxfId="2560" priority="2586">
      <formula>AND(I14="E△",J14="D△")</formula>
    </cfRule>
    <cfRule type="expression" dxfId="2559" priority="2587">
      <formula>AND(I14="E△",J14="D7")</formula>
    </cfRule>
    <cfRule type="expression" dxfId="2558" priority="2588">
      <formula>AND(I14="E△",J14="D6")</formula>
    </cfRule>
    <cfRule type="expression" dxfId="2557" priority="2589">
      <formula>AND(I14="E△",J14="I3")</formula>
    </cfRule>
    <cfRule type="expression" dxfId="2556" priority="2590">
      <formula>AND(I14="E△",J14="A3")</formula>
    </cfRule>
    <cfRule type="expression" dxfId="2555" priority="2591">
      <formula>AND(I14="E▲",J14="Co辦")</formula>
    </cfRule>
    <cfRule type="expression" dxfId="2554" priority="2592">
      <formula>AND(I14="E▲",J14="Y7")</formula>
    </cfRule>
    <cfRule type="expression" dxfId="2553" priority="2593">
      <formula>AND(I14="E▲",J14="D1台")</formula>
    </cfRule>
    <cfRule type="expression" dxfId="2552" priority="2594">
      <formula>AND(I14="E▲",J14="M台")</formula>
    </cfRule>
    <cfRule type="expression" dxfId="2551" priority="2595">
      <formula>AND(I14="E▲",J14="T台")</formula>
    </cfRule>
    <cfRule type="expression" dxfId="2550" priority="2596">
      <formula>AND(I14="E▲",J14="M5")</formula>
    </cfRule>
    <cfRule type="expression" dxfId="2549" priority="2597">
      <formula>AND(I14="E▲",J14="H7")</formula>
    </cfRule>
    <cfRule type="expression" dxfId="2548" priority="2598">
      <formula>AND(I14="E▲",J14="CO☆")</formula>
    </cfRule>
    <cfRule type="expression" dxfId="2547" priority="2599">
      <formula>AND(I14="E▲",J14="D▲")</formula>
    </cfRule>
    <cfRule type="expression" dxfId="2546" priority="2600">
      <formula>AND(I14="E▲",J14="D△")</formula>
    </cfRule>
    <cfRule type="expression" dxfId="2545" priority="2601">
      <formula>AND(I14="E▲",J14="D7")</formula>
    </cfRule>
    <cfRule type="expression" dxfId="2544" priority="2602">
      <formula>AND(I14="E▲",J14="D6")</formula>
    </cfRule>
    <cfRule type="expression" dxfId="2543" priority="2603">
      <formula>AND(I14="E▲",J14="I3")</formula>
    </cfRule>
    <cfRule type="expression" dxfId="2542" priority="2604">
      <formula>AND(I14="E▲",J14="A3")</formula>
    </cfRule>
  </conditionalFormatting>
  <conditionalFormatting sqref="K14">
    <cfRule type="expression" dxfId="2541" priority="2481">
      <formula>AND(J14="W7",K14="P5")</formula>
    </cfRule>
    <cfRule type="expression" dxfId="2540" priority="2482">
      <formula>AND(J14="E6",K14="P5")</formula>
    </cfRule>
    <cfRule type="expression" dxfId="2539" priority="2483">
      <formula>AND(J14="E△",K14="P5")</formula>
    </cfRule>
    <cfRule type="expression" dxfId="2538" priority="2484">
      <formula>AND(J14="E▲",K14="P5")</formula>
    </cfRule>
    <cfRule type="expression" dxfId="2537" priority="2485">
      <formula>AND(J14="E▲",K14="D1☆")</formula>
    </cfRule>
    <cfRule type="expression" dxfId="2536" priority="2486">
      <formula>AND(J14="E△",K14="D1☆")</formula>
    </cfRule>
    <cfRule type="expression" dxfId="2535" priority="2487">
      <formula>AND(J14="E6",K14="D1☆")</formula>
    </cfRule>
    <cfRule type="expression" dxfId="2534" priority="2488">
      <formula>AND(J14="W7",K14="D1☆")</formula>
    </cfRule>
    <cfRule type="expression" dxfId="2533" priority="2489">
      <formula>AND(J14="W7",K14="D6")</formula>
    </cfRule>
    <cfRule type="expression" dxfId="2532" priority="2490">
      <formula>AND(J14="W7",K14="D7")</formula>
    </cfRule>
    <cfRule type="expression" dxfId="2531" priority="2491">
      <formula>AND(J14="W7",K14="D△")</formula>
    </cfRule>
    <cfRule type="expression" dxfId="2530" priority="2492">
      <formula>AND(J14="W7",K14="D▲")</formula>
    </cfRule>
    <cfRule type="expression" dxfId="2529" priority="2493">
      <formula>AND(J14="W7",K14="CO☆")</formula>
    </cfRule>
    <cfRule type="expression" dxfId="2528" priority="2494">
      <formula>AND(J14="W7",K14="H5")</formula>
    </cfRule>
    <cfRule type="expression" dxfId="2527" priority="2495">
      <formula>AND(J14="W7",K14="M5")</formula>
    </cfRule>
    <cfRule type="expression" dxfId="2526" priority="2496">
      <formula>AND(J14="W7",K14="T台")</formula>
    </cfRule>
    <cfRule type="expression" dxfId="2525" priority="2497">
      <formula>AND(J14="W7",K14="M台")</formula>
    </cfRule>
    <cfRule type="expression" dxfId="2524" priority="2498">
      <formula>AND(J14="W7",K14="D1台")</formula>
    </cfRule>
    <cfRule type="expression" dxfId="2523" priority="2499">
      <formula>AND(J14="W7",K14="Y7")</formula>
    </cfRule>
    <cfRule type="expression" dxfId="2522" priority="2500">
      <formula>AND(J14="W7",K14="Co辦")</formula>
    </cfRule>
    <cfRule type="expression" dxfId="2521" priority="2501">
      <formula>AND(J14="E6",K14="Co辦")</formula>
    </cfRule>
    <cfRule type="expression" dxfId="2520" priority="2502">
      <formula>AND(J14="E6",K14="Y7")</formula>
    </cfRule>
    <cfRule type="expression" dxfId="2519" priority="2503">
      <formula>AND(J14="E6",K14="D1台")</formula>
    </cfRule>
    <cfRule type="expression" dxfId="2518" priority="2504">
      <formula>AND(J14="E6",K14="M台")</formula>
    </cfRule>
    <cfRule type="expression" dxfId="2517" priority="2505">
      <formula>AND(J14="E6",K14="T台")</formula>
    </cfRule>
    <cfRule type="expression" dxfId="2516" priority="2506">
      <formula>AND(J14="E6",K14="M5")</formula>
    </cfRule>
    <cfRule type="expression" dxfId="2515" priority="2507">
      <formula>AND(J14="E6",K14="H5")</formula>
    </cfRule>
    <cfRule type="expression" dxfId="2514" priority="2508">
      <formula>AND(J14="E6",K14="CO☆")</formula>
    </cfRule>
    <cfRule type="expression" dxfId="2513" priority="2509">
      <formula>AND(J14="E6",K14="D▲")</formula>
    </cfRule>
    <cfRule type="expression" dxfId="2512" priority="2510">
      <formula>AND(J14="E6",K14="D△")</formula>
    </cfRule>
    <cfRule type="expression" dxfId="2511" priority="2511">
      <formula>AND(J14="E6",K14="D7")</formula>
    </cfRule>
    <cfRule type="expression" dxfId="2510" priority="2512">
      <formula>AND(J14="E6",K14="D6")</formula>
    </cfRule>
    <cfRule type="expression" dxfId="2509" priority="2513">
      <formula>AND(J14="E6",K14="I3")</formula>
    </cfRule>
    <cfRule type="expression" dxfId="2508" priority="2514">
      <formula>AND(J14="E6",K14="A3")</formula>
    </cfRule>
    <cfRule type="expression" dxfId="2507" priority="2515">
      <formula>AND(J14="E△",K14="Co辦")</formula>
    </cfRule>
    <cfRule type="expression" dxfId="2506" priority="2516">
      <formula>AND(J14="E△",K14="Y7")</formula>
    </cfRule>
    <cfRule type="expression" dxfId="2505" priority="2517">
      <formula>AND(J14="E△",K14="D1台")</formula>
    </cfRule>
    <cfRule type="expression" dxfId="2504" priority="2518">
      <formula>AND(J14="E△",K14="M台")</formula>
    </cfRule>
    <cfRule type="expression" dxfId="2503" priority="2519">
      <formula>AND(J14="E△",K14="T台")</formula>
    </cfRule>
    <cfRule type="expression" dxfId="2502" priority="2520">
      <formula>AND(J14="E△",K14="M5")</formula>
    </cfRule>
    <cfRule type="expression" dxfId="2501" priority="2521">
      <formula>AND(J14="E△",K14="H5")</formula>
    </cfRule>
    <cfRule type="expression" dxfId="2500" priority="2522">
      <formula>AND(J14="E△",K14="CO☆")</formula>
    </cfRule>
    <cfRule type="expression" dxfId="2499" priority="2523">
      <formula>AND(J14="E△",K14="D▲")</formula>
    </cfRule>
    <cfRule type="expression" dxfId="2498" priority="2524">
      <formula>AND(J14="E△",K14="D△")</formula>
    </cfRule>
    <cfRule type="expression" dxfId="2497" priority="2525">
      <formula>AND(J14="E△",K14="D7")</formula>
    </cfRule>
    <cfRule type="expression" dxfId="2496" priority="2526">
      <formula>AND(J14="E△",K14="D6")</formula>
    </cfRule>
    <cfRule type="expression" dxfId="2495" priority="2527">
      <formula>AND(J14="E△",K14="I3")</formula>
    </cfRule>
    <cfRule type="expression" dxfId="2494" priority="2528">
      <formula>AND(J14="E△",K14="A3")</formula>
    </cfRule>
    <cfRule type="expression" dxfId="2493" priority="2529">
      <formula>AND(J14="E▲",K14="Co辦")</formula>
    </cfRule>
    <cfRule type="expression" dxfId="2492" priority="2530">
      <formula>AND(J14="E▲",K14="Y7")</formula>
    </cfRule>
    <cfRule type="expression" dxfId="2491" priority="2531">
      <formula>AND(J14="E▲",K14="D1台")</formula>
    </cfRule>
    <cfRule type="expression" dxfId="2490" priority="2532">
      <formula>AND(J14="E▲",K14="M台")</formula>
    </cfRule>
    <cfRule type="expression" dxfId="2489" priority="2533">
      <formula>AND(J14="E▲",K14="T台")</formula>
    </cfRule>
    <cfRule type="expression" dxfId="2488" priority="2534">
      <formula>AND(J14="E▲",K14="M5")</formula>
    </cfRule>
    <cfRule type="expression" dxfId="2487" priority="2535">
      <formula>AND(J14="E▲",K14="H7")</formula>
    </cfRule>
    <cfRule type="expression" dxfId="2486" priority="2536">
      <formula>AND(J14="E▲",K14="CO☆")</formula>
    </cfRule>
    <cfRule type="expression" dxfId="2485" priority="2537">
      <formula>AND(J14="E▲",K14="D▲")</formula>
    </cfRule>
    <cfRule type="expression" dxfId="2484" priority="2538">
      <formula>AND(J14="E▲",K14="D△")</formula>
    </cfRule>
    <cfRule type="expression" dxfId="2483" priority="2539">
      <formula>AND(J14="E▲",K14="D7")</formula>
    </cfRule>
    <cfRule type="expression" dxfId="2482" priority="2540">
      <formula>AND(J14="E▲",K14="D6")</formula>
    </cfRule>
    <cfRule type="expression" dxfId="2481" priority="2541">
      <formula>AND(J14="E▲",K14="I3")</formula>
    </cfRule>
    <cfRule type="expression" dxfId="2480" priority="2542">
      <formula>AND(J14="E▲",K14="A3")</formula>
    </cfRule>
  </conditionalFormatting>
  <conditionalFormatting sqref="K15">
    <cfRule type="expression" dxfId="2479" priority="2419">
      <formula>AND(J15="W7",K15="P5")</formula>
    </cfRule>
    <cfRule type="expression" dxfId="2478" priority="2420">
      <formula>AND(J15="E6",K15="P5")</formula>
    </cfRule>
    <cfRule type="expression" dxfId="2477" priority="2421">
      <formula>AND(J15="E△",K15="P5")</formula>
    </cfRule>
    <cfRule type="expression" dxfId="2476" priority="2422">
      <formula>AND(J15="E▲",K15="P5")</formula>
    </cfRule>
    <cfRule type="expression" dxfId="2475" priority="2423">
      <formula>AND(J15="E▲",K15="D1☆")</formula>
    </cfRule>
    <cfRule type="expression" dxfId="2474" priority="2424">
      <formula>AND(J15="E△",K15="D1☆")</formula>
    </cfRule>
    <cfRule type="expression" dxfId="2473" priority="2425">
      <formula>AND(J15="E6",K15="D1☆")</formula>
    </cfRule>
    <cfRule type="expression" dxfId="2472" priority="2426">
      <formula>AND(J15="W7",K15="D1☆")</formula>
    </cfRule>
    <cfRule type="expression" dxfId="2471" priority="2427">
      <formula>AND(J15="W7",K15="D6")</formula>
    </cfRule>
    <cfRule type="expression" dxfId="2470" priority="2428">
      <formula>AND(J15="W7",K15="D7")</formula>
    </cfRule>
    <cfRule type="expression" dxfId="2469" priority="2429">
      <formula>AND(J15="W7",K15="D△")</formula>
    </cfRule>
    <cfRule type="expression" dxfId="2468" priority="2430">
      <formula>AND(J15="W7",K15="D▲")</formula>
    </cfRule>
    <cfRule type="expression" dxfId="2467" priority="2431">
      <formula>AND(J15="W7",K15="CO☆")</formula>
    </cfRule>
    <cfRule type="expression" dxfId="2466" priority="2432">
      <formula>AND(J15="W7",K15="H5")</formula>
    </cfRule>
    <cfRule type="expression" dxfId="2465" priority="2433">
      <formula>AND(J15="W7",K15="M5")</formula>
    </cfRule>
    <cfRule type="expression" dxfId="2464" priority="2434">
      <formula>AND(J15="W7",K15="T台")</formula>
    </cfRule>
    <cfRule type="expression" dxfId="2463" priority="2435">
      <formula>AND(J15="W7",K15="M台")</formula>
    </cfRule>
    <cfRule type="expression" dxfId="2462" priority="2436">
      <formula>AND(J15="W7",K15="D1台")</formula>
    </cfRule>
    <cfRule type="expression" dxfId="2461" priority="2437">
      <formula>AND(J15="W7",K15="Y7")</formula>
    </cfRule>
    <cfRule type="expression" dxfId="2460" priority="2438">
      <formula>AND(J15="W7",K15="Co辦")</formula>
    </cfRule>
    <cfRule type="expression" dxfId="2459" priority="2439">
      <formula>AND(J15="E6",K15="Co辦")</formula>
    </cfRule>
    <cfRule type="expression" dxfId="2458" priority="2440">
      <formula>AND(J15="E6",K15="Y7")</formula>
    </cfRule>
    <cfRule type="expression" dxfId="2457" priority="2441">
      <formula>AND(J15="E6",K15="D1台")</formula>
    </cfRule>
    <cfRule type="expression" dxfId="2456" priority="2442">
      <formula>AND(J15="E6",K15="M台")</formula>
    </cfRule>
    <cfRule type="expression" dxfId="2455" priority="2443">
      <formula>AND(J15="E6",K15="T台")</formula>
    </cfRule>
    <cfRule type="expression" dxfId="2454" priority="2444">
      <formula>AND(J15="E6",K15="M5")</formula>
    </cfRule>
    <cfRule type="expression" dxfId="2453" priority="2445">
      <formula>AND(J15="E6",K15="H5")</formula>
    </cfRule>
    <cfRule type="expression" dxfId="2452" priority="2446">
      <formula>AND(J15="E6",K15="CO☆")</formula>
    </cfRule>
    <cfRule type="expression" dxfId="2451" priority="2447">
      <formula>AND(J15="E6",K15="D▲")</formula>
    </cfRule>
    <cfRule type="expression" dxfId="2450" priority="2448">
      <formula>AND(J15="E6",K15="D△")</formula>
    </cfRule>
    <cfRule type="expression" dxfId="2449" priority="2449">
      <formula>AND(J15="E6",K15="D7")</formula>
    </cfRule>
    <cfRule type="expression" dxfId="2448" priority="2450">
      <formula>AND(J15="E6",K15="D6")</formula>
    </cfRule>
    <cfRule type="expression" dxfId="2447" priority="2451">
      <formula>AND(J15="E6",K15="I3")</formula>
    </cfRule>
    <cfRule type="expression" dxfId="2446" priority="2452">
      <formula>AND(J15="E6",K15="A3")</formula>
    </cfRule>
    <cfRule type="expression" dxfId="2445" priority="2453">
      <formula>AND(J15="E△",K15="Co辦")</formula>
    </cfRule>
    <cfRule type="expression" dxfId="2444" priority="2454">
      <formula>AND(J15="E△",K15="Y7")</formula>
    </cfRule>
    <cfRule type="expression" dxfId="2443" priority="2455">
      <formula>AND(J15="E△",K15="D1台")</formula>
    </cfRule>
    <cfRule type="expression" dxfId="2442" priority="2456">
      <formula>AND(J15="E△",K15="M台")</formula>
    </cfRule>
    <cfRule type="expression" dxfId="2441" priority="2457">
      <formula>AND(J15="E△",K15="T台")</formula>
    </cfRule>
    <cfRule type="expression" dxfId="2440" priority="2458">
      <formula>AND(J15="E△",K15="M5")</formula>
    </cfRule>
    <cfRule type="expression" dxfId="2439" priority="2459">
      <formula>AND(J15="E△",K15="H5")</formula>
    </cfRule>
    <cfRule type="expression" dxfId="2438" priority="2460">
      <formula>AND(J15="E△",K15="CO☆")</formula>
    </cfRule>
    <cfRule type="expression" dxfId="2437" priority="2461">
      <formula>AND(J15="E△",K15="D▲")</formula>
    </cfRule>
    <cfRule type="expression" dxfId="2436" priority="2462">
      <formula>AND(J15="E△",K15="D△")</formula>
    </cfRule>
    <cfRule type="expression" dxfId="2435" priority="2463">
      <formula>AND(J15="E△",K15="D7")</formula>
    </cfRule>
    <cfRule type="expression" dxfId="2434" priority="2464">
      <formula>AND(J15="E△",K15="D6")</formula>
    </cfRule>
    <cfRule type="expression" dxfId="2433" priority="2465">
      <formula>AND(J15="E△",K15="I3")</formula>
    </cfRule>
    <cfRule type="expression" dxfId="2432" priority="2466">
      <formula>AND(J15="E△",K15="A3")</formula>
    </cfRule>
    <cfRule type="expression" dxfId="2431" priority="2467">
      <formula>AND(J15="E▲",K15="Co辦")</formula>
    </cfRule>
    <cfRule type="expression" dxfId="2430" priority="2468">
      <formula>AND(J15="E▲",K15="Y7")</formula>
    </cfRule>
    <cfRule type="expression" dxfId="2429" priority="2469">
      <formula>AND(J15="E▲",K15="D1台")</formula>
    </cfRule>
    <cfRule type="expression" dxfId="2428" priority="2470">
      <formula>AND(J15="E▲",K15="M台")</formula>
    </cfRule>
    <cfRule type="expression" dxfId="2427" priority="2471">
      <formula>AND(J15="E▲",K15="T台")</formula>
    </cfRule>
    <cfRule type="expression" dxfId="2426" priority="2472">
      <formula>AND(J15="E▲",K15="M5")</formula>
    </cfRule>
    <cfRule type="expression" dxfId="2425" priority="2473">
      <formula>AND(J15="E▲",K15="H7")</formula>
    </cfRule>
    <cfRule type="expression" dxfId="2424" priority="2474">
      <formula>AND(J15="E▲",K15="CO☆")</formula>
    </cfRule>
    <cfRule type="expression" dxfId="2423" priority="2475">
      <formula>AND(J15="E▲",K15="D▲")</formula>
    </cfRule>
    <cfRule type="expression" dxfId="2422" priority="2476">
      <formula>AND(J15="E▲",K15="D△")</formula>
    </cfRule>
    <cfRule type="expression" dxfId="2421" priority="2477">
      <formula>AND(J15="E▲",K15="D7")</formula>
    </cfRule>
    <cfRule type="expression" dxfId="2420" priority="2478">
      <formula>AND(J15="E▲",K15="D6")</formula>
    </cfRule>
    <cfRule type="expression" dxfId="2419" priority="2479">
      <formula>AND(J15="E▲",K15="I3")</formula>
    </cfRule>
    <cfRule type="expression" dxfId="2418" priority="2480">
      <formula>AND(J15="E▲",K15="A3")</formula>
    </cfRule>
  </conditionalFormatting>
  <conditionalFormatting sqref="L16">
    <cfRule type="expression" dxfId="2417" priority="2357">
      <formula>AND(K16="W7",L16="P5")</formula>
    </cfRule>
    <cfRule type="expression" dxfId="2416" priority="2358">
      <formula>AND(K16="E6",L16="P5")</formula>
    </cfRule>
    <cfRule type="expression" dxfId="2415" priority="2359">
      <formula>AND(K16="E△",L16="P5")</formula>
    </cfRule>
    <cfRule type="expression" dxfId="2414" priority="2360">
      <formula>AND(K16="E▲",L16="P5")</formula>
    </cfRule>
    <cfRule type="expression" dxfId="2413" priority="2361">
      <formula>AND(K16="E▲",L16="D1☆")</formula>
    </cfRule>
    <cfRule type="expression" dxfId="2412" priority="2362">
      <formula>AND(K16="E△",L16="D1☆")</formula>
    </cfRule>
    <cfRule type="expression" dxfId="2411" priority="2363">
      <formula>AND(K16="E6",L16="D1☆")</formula>
    </cfRule>
    <cfRule type="expression" dxfId="2410" priority="2364">
      <formula>AND(K16="W7",L16="D1☆")</formula>
    </cfRule>
    <cfRule type="expression" dxfId="2409" priority="2365">
      <formula>AND(K16="W7",L16="D6")</formula>
    </cfRule>
    <cfRule type="expression" dxfId="2408" priority="2366">
      <formula>AND(K16="W7",L16="D7")</formula>
    </cfRule>
    <cfRule type="expression" dxfId="2407" priority="2367">
      <formula>AND(K16="W7",L16="D△")</formula>
    </cfRule>
    <cfRule type="expression" dxfId="2406" priority="2368">
      <formula>AND(K16="W7",L16="D▲")</formula>
    </cfRule>
    <cfRule type="expression" dxfId="2405" priority="2369">
      <formula>AND(K16="W7",L16="CO☆")</formula>
    </cfRule>
    <cfRule type="expression" dxfId="2404" priority="2370">
      <formula>AND(K16="W7",L16="H5")</formula>
    </cfRule>
    <cfRule type="expression" dxfId="2403" priority="2371">
      <formula>AND(K16="W7",L16="M5")</formula>
    </cfRule>
    <cfRule type="expression" dxfId="2402" priority="2372">
      <formula>AND(K16="W7",L16="T台")</formula>
    </cfRule>
    <cfRule type="expression" dxfId="2401" priority="2373">
      <formula>AND(K16="W7",L16="M台")</formula>
    </cfRule>
    <cfRule type="expression" dxfId="2400" priority="2374">
      <formula>AND(K16="W7",L16="D1台")</formula>
    </cfRule>
    <cfRule type="expression" dxfId="2399" priority="2375">
      <formula>AND(K16="W7",L16="Y7")</formula>
    </cfRule>
    <cfRule type="expression" dxfId="2398" priority="2376">
      <formula>AND(K16="W7",L16="Co辦")</formula>
    </cfRule>
    <cfRule type="expression" dxfId="2397" priority="2377">
      <formula>AND(K16="E6",L16="Co辦")</formula>
    </cfRule>
    <cfRule type="expression" dxfId="2396" priority="2378">
      <formula>AND(K16="E6",L16="Y7")</formula>
    </cfRule>
    <cfRule type="expression" dxfId="2395" priority="2379">
      <formula>AND(K16="E6",L16="D1台")</formula>
    </cfRule>
    <cfRule type="expression" dxfId="2394" priority="2380">
      <formula>AND(K16="E6",L16="M台")</formula>
    </cfRule>
    <cfRule type="expression" dxfId="2393" priority="2381">
      <formula>AND(K16="E6",L16="T台")</formula>
    </cfRule>
    <cfRule type="expression" dxfId="2392" priority="2382">
      <formula>AND(K16="E6",L16="M5")</formula>
    </cfRule>
    <cfRule type="expression" dxfId="2391" priority="2383">
      <formula>AND(K16="E6",L16="H5")</formula>
    </cfRule>
    <cfRule type="expression" dxfId="2390" priority="2384">
      <formula>AND(K16="E6",L16="CO☆")</formula>
    </cfRule>
    <cfRule type="expression" dxfId="2389" priority="2385">
      <formula>AND(K16="E6",L16="D▲")</formula>
    </cfRule>
    <cfRule type="expression" dxfId="2388" priority="2386">
      <formula>AND(K16="E6",L16="D△")</formula>
    </cfRule>
    <cfRule type="expression" dxfId="2387" priority="2387">
      <formula>AND(K16="E6",L16="D7")</formula>
    </cfRule>
    <cfRule type="expression" dxfId="2386" priority="2388">
      <formula>AND(K16="E6",L16="D6")</formula>
    </cfRule>
    <cfRule type="expression" dxfId="2385" priority="2389">
      <formula>AND(K16="E6",L16="I3")</formula>
    </cfRule>
    <cfRule type="expression" dxfId="2384" priority="2390">
      <formula>AND(K16="E6",L16="A3")</formula>
    </cfRule>
    <cfRule type="expression" dxfId="2383" priority="2391">
      <formula>AND(K16="E△",L16="Co辦")</formula>
    </cfRule>
    <cfRule type="expression" dxfId="2382" priority="2392">
      <formula>AND(K16="E△",L16="Y7")</formula>
    </cfRule>
    <cfRule type="expression" dxfId="2381" priority="2393">
      <formula>AND(K16="E△",L16="D1台")</formula>
    </cfRule>
    <cfRule type="expression" dxfId="2380" priority="2394">
      <formula>AND(K16="E△",L16="M台")</formula>
    </cfRule>
    <cfRule type="expression" dxfId="2379" priority="2395">
      <formula>AND(K16="E△",L16="T台")</formula>
    </cfRule>
    <cfRule type="expression" dxfId="2378" priority="2396">
      <formula>AND(K16="E△",L16="M5")</formula>
    </cfRule>
    <cfRule type="expression" dxfId="2377" priority="2397">
      <formula>AND(K16="E△",L16="H5")</formula>
    </cfRule>
    <cfRule type="expression" dxfId="2376" priority="2398">
      <formula>AND(K16="E△",L16="CO☆")</formula>
    </cfRule>
    <cfRule type="expression" dxfId="2375" priority="2399">
      <formula>AND(K16="E△",L16="D▲")</formula>
    </cfRule>
    <cfRule type="expression" dxfId="2374" priority="2400">
      <formula>AND(K16="E△",L16="D△")</formula>
    </cfRule>
    <cfRule type="expression" dxfId="2373" priority="2401">
      <formula>AND(K16="E△",L16="D7")</formula>
    </cfRule>
    <cfRule type="expression" dxfId="2372" priority="2402">
      <formula>AND(K16="E△",L16="D6")</formula>
    </cfRule>
    <cfRule type="expression" dxfId="2371" priority="2403">
      <formula>AND(K16="E△",L16="I3")</formula>
    </cfRule>
    <cfRule type="expression" dxfId="2370" priority="2404">
      <formula>AND(K16="E△",L16="A3")</formula>
    </cfRule>
    <cfRule type="expression" dxfId="2369" priority="2405">
      <formula>AND(K16="E▲",L16="Co辦")</formula>
    </cfRule>
    <cfRule type="expression" dxfId="2368" priority="2406">
      <formula>AND(K16="E▲",L16="Y7")</formula>
    </cfRule>
    <cfRule type="expression" dxfId="2367" priority="2407">
      <formula>AND(K16="E▲",L16="D1台")</formula>
    </cfRule>
    <cfRule type="expression" dxfId="2366" priority="2408">
      <formula>AND(K16="E▲",L16="M台")</formula>
    </cfRule>
    <cfRule type="expression" dxfId="2365" priority="2409">
      <formula>AND(K16="E▲",L16="T台")</formula>
    </cfRule>
    <cfRule type="expression" dxfId="2364" priority="2410">
      <formula>AND(K16="E▲",L16="M5")</formula>
    </cfRule>
    <cfRule type="expression" dxfId="2363" priority="2411">
      <formula>AND(K16="E▲",L16="H7")</formula>
    </cfRule>
    <cfRule type="expression" dxfId="2362" priority="2412">
      <formula>AND(K16="E▲",L16="CO☆")</formula>
    </cfRule>
    <cfRule type="expression" dxfId="2361" priority="2413">
      <formula>AND(K16="E▲",L16="D▲")</formula>
    </cfRule>
    <cfRule type="expression" dxfId="2360" priority="2414">
      <formula>AND(K16="E▲",L16="D△")</formula>
    </cfRule>
    <cfRule type="expression" dxfId="2359" priority="2415">
      <formula>AND(K16="E▲",L16="D7")</formula>
    </cfRule>
    <cfRule type="expression" dxfId="2358" priority="2416">
      <formula>AND(K16="E▲",L16="D6")</formula>
    </cfRule>
    <cfRule type="expression" dxfId="2357" priority="2417">
      <formula>AND(K16="E▲",L16="I3")</formula>
    </cfRule>
    <cfRule type="expression" dxfId="2356" priority="2418">
      <formula>AND(K16="E▲",L16="A3")</formula>
    </cfRule>
  </conditionalFormatting>
  <conditionalFormatting sqref="N24:O24">
    <cfRule type="expression" dxfId="2355" priority="2295">
      <formula>AND(M24="W7",N24="P5")</formula>
    </cfRule>
    <cfRule type="expression" dxfId="2354" priority="2296">
      <formula>AND(M24="E6",N24="P5")</formula>
    </cfRule>
    <cfRule type="expression" dxfId="2353" priority="2297">
      <formula>AND(M24="E△",N24="P5")</formula>
    </cfRule>
    <cfRule type="expression" dxfId="2352" priority="2298">
      <formula>AND(M24="E▲",N24="P5")</formula>
    </cfRule>
    <cfRule type="expression" dxfId="2351" priority="2299">
      <formula>AND(M24="E▲",N24="D1☆")</formula>
    </cfRule>
    <cfRule type="expression" dxfId="2350" priority="2300">
      <formula>AND(M24="E△",N24="D1☆")</formula>
    </cfRule>
    <cfRule type="expression" dxfId="2349" priority="2301">
      <formula>AND(M24="E6",N24="D1☆")</formula>
    </cfRule>
    <cfRule type="expression" dxfId="2348" priority="2302">
      <formula>AND(M24="W7",N24="D1☆")</formula>
    </cfRule>
    <cfRule type="expression" dxfId="2347" priority="2303">
      <formula>AND(M24="W7",N24="D6")</formula>
    </cfRule>
    <cfRule type="expression" dxfId="2346" priority="2304">
      <formula>AND(M24="W7",N24="D7")</formula>
    </cfRule>
    <cfRule type="expression" dxfId="2345" priority="2305">
      <formula>AND(M24="W7",N24="D△")</formula>
    </cfRule>
    <cfRule type="expression" dxfId="2344" priority="2306">
      <formula>AND(M24="W7",N24="D▲")</formula>
    </cfRule>
    <cfRule type="expression" dxfId="2343" priority="2307">
      <formula>AND(M24="W7",N24="CO☆")</formula>
    </cfRule>
    <cfRule type="expression" dxfId="2342" priority="2308">
      <formula>AND(M24="W7",N24="H5")</formula>
    </cfRule>
    <cfRule type="expression" dxfId="2341" priority="2309">
      <formula>AND(M24="W7",N24="M5")</formula>
    </cfRule>
    <cfRule type="expression" dxfId="2340" priority="2310">
      <formula>AND(M24="W7",N24="T台")</formula>
    </cfRule>
    <cfRule type="expression" dxfId="2339" priority="2311">
      <formula>AND(M24="W7",N24="M台")</formula>
    </cfRule>
    <cfRule type="expression" dxfId="2338" priority="2312">
      <formula>AND(M24="W7",N24="D1台")</formula>
    </cfRule>
    <cfRule type="expression" dxfId="2337" priority="2313">
      <formula>AND(M24="W7",N24="Y7")</formula>
    </cfRule>
    <cfRule type="expression" dxfId="2336" priority="2314">
      <formula>AND(M24="W7",N24="Co辦")</formula>
    </cfRule>
    <cfRule type="expression" dxfId="2335" priority="2315">
      <formula>AND(M24="E6",N24="Co辦")</formula>
    </cfRule>
    <cfRule type="expression" dxfId="2334" priority="2316">
      <formula>AND(M24="E6",N24="Y7")</formula>
    </cfRule>
    <cfRule type="expression" dxfId="2333" priority="2317">
      <formula>AND(M24="E6",N24="D1台")</formula>
    </cfRule>
    <cfRule type="expression" dxfId="2332" priority="2318">
      <formula>AND(M24="E6",N24="M台")</formula>
    </cfRule>
    <cfRule type="expression" dxfId="2331" priority="2319">
      <formula>AND(M24="E6",N24="T台")</formula>
    </cfRule>
    <cfRule type="expression" dxfId="2330" priority="2320">
      <formula>AND(M24="E6",N24="M5")</formula>
    </cfRule>
    <cfRule type="expression" dxfId="2329" priority="2321">
      <formula>AND(M24="E6",N24="H5")</formula>
    </cfRule>
    <cfRule type="expression" dxfId="2328" priority="2322">
      <formula>AND(M24="E6",N24="CO☆")</formula>
    </cfRule>
    <cfRule type="expression" dxfId="2327" priority="2323">
      <formula>AND(M24="E6",N24="D▲")</formula>
    </cfRule>
    <cfRule type="expression" dxfId="2326" priority="2324">
      <formula>AND(M24="E6",N24="D△")</formula>
    </cfRule>
    <cfRule type="expression" dxfId="2325" priority="2325">
      <formula>AND(M24="E6",N24="D7")</formula>
    </cfRule>
    <cfRule type="expression" dxfId="2324" priority="2326">
      <formula>AND(M24="E6",N24="D6")</formula>
    </cfRule>
    <cfRule type="expression" dxfId="2323" priority="2327">
      <formula>AND(M24="E6",N24="I3")</formula>
    </cfRule>
    <cfRule type="expression" dxfId="2322" priority="2328">
      <formula>AND(M24="E6",N24="A3")</formula>
    </cfRule>
    <cfRule type="expression" dxfId="2321" priority="2329">
      <formula>AND(M24="E△",N24="Co辦")</formula>
    </cfRule>
    <cfRule type="expression" dxfId="2320" priority="2330">
      <formula>AND(M24="E△",N24="Y7")</formula>
    </cfRule>
    <cfRule type="expression" dxfId="2319" priority="2331">
      <formula>AND(M24="E△",N24="D1台")</formula>
    </cfRule>
    <cfRule type="expression" dxfId="2318" priority="2332">
      <formula>AND(M24="E△",N24="M台")</formula>
    </cfRule>
    <cfRule type="expression" dxfId="2317" priority="2333">
      <formula>AND(M24="E△",N24="T台")</formula>
    </cfRule>
    <cfRule type="expression" dxfId="2316" priority="2334">
      <formula>AND(M24="E△",N24="M5")</formula>
    </cfRule>
    <cfRule type="expression" dxfId="2315" priority="2335">
      <formula>AND(M24="E△",N24="H5")</formula>
    </cfRule>
    <cfRule type="expression" dxfId="2314" priority="2336">
      <formula>AND(M24="E△",N24="CO☆")</formula>
    </cfRule>
    <cfRule type="expression" dxfId="2313" priority="2337">
      <formula>AND(M24="E△",N24="D▲")</formula>
    </cfRule>
    <cfRule type="expression" dxfId="2312" priority="2338">
      <formula>AND(M24="E△",N24="D△")</formula>
    </cfRule>
    <cfRule type="expression" dxfId="2311" priority="2339">
      <formula>AND(M24="E△",N24="D7")</formula>
    </cfRule>
    <cfRule type="expression" dxfId="2310" priority="2340">
      <formula>AND(M24="E△",N24="D6")</formula>
    </cfRule>
    <cfRule type="expression" dxfId="2309" priority="2341">
      <formula>AND(M24="E△",N24="I3")</formula>
    </cfRule>
    <cfRule type="expression" dxfId="2308" priority="2342">
      <formula>AND(M24="E△",N24="A3")</formula>
    </cfRule>
    <cfRule type="expression" dxfId="2307" priority="2343">
      <formula>AND(M24="E▲",N24="Co辦")</formula>
    </cfRule>
    <cfRule type="expression" dxfId="2306" priority="2344">
      <formula>AND(M24="E▲",N24="Y7")</formula>
    </cfRule>
    <cfRule type="expression" dxfId="2305" priority="2345">
      <formula>AND(M24="E▲",N24="D1台")</formula>
    </cfRule>
    <cfRule type="expression" dxfId="2304" priority="2346">
      <formula>AND(M24="E▲",N24="M台")</formula>
    </cfRule>
    <cfRule type="expression" dxfId="2303" priority="2347">
      <formula>AND(M24="E▲",N24="T台")</formula>
    </cfRule>
    <cfRule type="expression" dxfId="2302" priority="2348">
      <formula>AND(M24="E▲",N24="M5")</formula>
    </cfRule>
    <cfRule type="expression" dxfId="2301" priority="2349">
      <formula>AND(M24="E▲",N24="H7")</formula>
    </cfRule>
    <cfRule type="expression" dxfId="2300" priority="2350">
      <formula>AND(M24="E▲",N24="CO☆")</formula>
    </cfRule>
    <cfRule type="expression" dxfId="2299" priority="2351">
      <formula>AND(M24="E▲",N24="D▲")</formula>
    </cfRule>
    <cfRule type="expression" dxfId="2298" priority="2352">
      <formula>AND(M24="E▲",N24="D△")</formula>
    </cfRule>
    <cfRule type="expression" dxfId="2297" priority="2353">
      <formula>AND(M24="E▲",N24="D7")</formula>
    </cfRule>
    <cfRule type="expression" dxfId="2296" priority="2354">
      <formula>AND(M24="E▲",N24="D6")</formula>
    </cfRule>
    <cfRule type="expression" dxfId="2295" priority="2355">
      <formula>AND(M24="E▲",N24="I3")</formula>
    </cfRule>
    <cfRule type="expression" dxfId="2294" priority="2356">
      <formula>AND(M24="E▲",N24="A3")</formula>
    </cfRule>
  </conditionalFormatting>
  <conditionalFormatting sqref="N25">
    <cfRule type="expression" dxfId="2293" priority="2233">
      <formula>AND(M25="W7",N25="P5")</formula>
    </cfRule>
    <cfRule type="expression" dxfId="2292" priority="2234">
      <formula>AND(M25="E6",N25="P5")</formula>
    </cfRule>
    <cfRule type="expression" dxfId="2291" priority="2235">
      <formula>AND(M25="E△",N25="P5")</formula>
    </cfRule>
    <cfRule type="expression" dxfId="2290" priority="2236">
      <formula>AND(M25="E▲",N25="P5")</formula>
    </cfRule>
    <cfRule type="expression" dxfId="2289" priority="2237">
      <formula>AND(M25="E▲",N25="D1☆")</formula>
    </cfRule>
    <cfRule type="expression" dxfId="2288" priority="2238">
      <formula>AND(M25="E△",N25="D1☆")</formula>
    </cfRule>
    <cfRule type="expression" dxfId="2287" priority="2239">
      <formula>AND(M25="E6",N25="D1☆")</formula>
    </cfRule>
    <cfRule type="expression" dxfId="2286" priority="2240">
      <formula>AND(M25="W7",N25="D1☆")</formula>
    </cfRule>
    <cfRule type="expression" dxfId="2285" priority="2241">
      <formula>AND(M25="W7",N25="D6")</formula>
    </cfRule>
    <cfRule type="expression" dxfId="2284" priority="2242">
      <formula>AND(M25="W7",N25="D7")</formula>
    </cfRule>
    <cfRule type="expression" dxfId="2283" priority="2243">
      <formula>AND(M25="W7",N25="D△")</formula>
    </cfRule>
    <cfRule type="expression" dxfId="2282" priority="2244">
      <formula>AND(M25="W7",N25="D▲")</formula>
    </cfRule>
    <cfRule type="expression" dxfId="2281" priority="2245">
      <formula>AND(M25="W7",N25="CO☆")</formula>
    </cfRule>
    <cfRule type="expression" dxfId="2280" priority="2246">
      <formula>AND(M25="W7",N25="H5")</formula>
    </cfRule>
    <cfRule type="expression" dxfId="2279" priority="2247">
      <formula>AND(M25="W7",N25="M5")</formula>
    </cfRule>
    <cfRule type="expression" dxfId="2278" priority="2248">
      <formula>AND(M25="W7",N25="T台")</formula>
    </cfRule>
    <cfRule type="expression" dxfId="2277" priority="2249">
      <formula>AND(M25="W7",N25="M台")</formula>
    </cfRule>
    <cfRule type="expression" dxfId="2276" priority="2250">
      <formula>AND(M25="W7",N25="D1台")</formula>
    </cfRule>
    <cfRule type="expression" dxfId="2275" priority="2251">
      <formula>AND(M25="W7",N25="Y7")</formula>
    </cfRule>
    <cfRule type="expression" dxfId="2274" priority="2252">
      <formula>AND(M25="W7",N25="Co辦")</formula>
    </cfRule>
    <cfRule type="expression" dxfId="2273" priority="2253">
      <formula>AND(M25="E6",N25="Co辦")</formula>
    </cfRule>
    <cfRule type="expression" dxfId="2272" priority="2254">
      <formula>AND(M25="E6",N25="Y7")</formula>
    </cfRule>
    <cfRule type="expression" dxfId="2271" priority="2255">
      <formula>AND(M25="E6",N25="D1台")</formula>
    </cfRule>
    <cfRule type="expression" dxfId="2270" priority="2256">
      <formula>AND(M25="E6",N25="M台")</formula>
    </cfRule>
    <cfRule type="expression" dxfId="2269" priority="2257">
      <formula>AND(M25="E6",N25="T台")</formula>
    </cfRule>
    <cfRule type="expression" dxfId="2268" priority="2258">
      <formula>AND(M25="E6",N25="M5")</formula>
    </cfRule>
    <cfRule type="expression" dxfId="2267" priority="2259">
      <formula>AND(M25="E6",N25="H5")</formula>
    </cfRule>
    <cfRule type="expression" dxfId="2266" priority="2260">
      <formula>AND(M25="E6",N25="CO☆")</formula>
    </cfRule>
    <cfRule type="expression" dxfId="2265" priority="2261">
      <formula>AND(M25="E6",N25="D▲")</formula>
    </cfRule>
    <cfRule type="expression" dxfId="2264" priority="2262">
      <formula>AND(M25="E6",N25="D△")</formula>
    </cfRule>
    <cfRule type="expression" dxfId="2263" priority="2263">
      <formula>AND(M25="E6",N25="D7")</formula>
    </cfRule>
    <cfRule type="expression" dxfId="2262" priority="2264">
      <formula>AND(M25="E6",N25="D6")</formula>
    </cfRule>
    <cfRule type="expression" dxfId="2261" priority="2265">
      <formula>AND(M25="E6",N25="I3")</formula>
    </cfRule>
    <cfRule type="expression" dxfId="2260" priority="2266">
      <formula>AND(M25="E6",N25="A3")</formula>
    </cfRule>
    <cfRule type="expression" dxfId="2259" priority="2267">
      <formula>AND(M25="E△",N25="Co辦")</formula>
    </cfRule>
    <cfRule type="expression" dxfId="2258" priority="2268">
      <formula>AND(M25="E△",N25="Y7")</formula>
    </cfRule>
    <cfRule type="expression" dxfId="2257" priority="2269">
      <formula>AND(M25="E△",N25="D1台")</formula>
    </cfRule>
    <cfRule type="expression" dxfId="2256" priority="2270">
      <formula>AND(M25="E△",N25="M台")</formula>
    </cfRule>
    <cfRule type="expression" dxfId="2255" priority="2271">
      <formula>AND(M25="E△",N25="T台")</formula>
    </cfRule>
    <cfRule type="expression" dxfId="2254" priority="2272">
      <formula>AND(M25="E△",N25="M5")</formula>
    </cfRule>
    <cfRule type="expression" dxfId="2253" priority="2273">
      <formula>AND(M25="E△",N25="H5")</formula>
    </cfRule>
    <cfRule type="expression" dxfId="2252" priority="2274">
      <formula>AND(M25="E△",N25="CO☆")</formula>
    </cfRule>
    <cfRule type="expression" dxfId="2251" priority="2275">
      <formula>AND(M25="E△",N25="D▲")</formula>
    </cfRule>
    <cfRule type="expression" dxfId="2250" priority="2276">
      <formula>AND(M25="E△",N25="D△")</formula>
    </cfRule>
    <cfRule type="expression" dxfId="2249" priority="2277">
      <formula>AND(M25="E△",N25="D7")</formula>
    </cfRule>
    <cfRule type="expression" dxfId="2248" priority="2278">
      <formula>AND(M25="E△",N25="D6")</formula>
    </cfRule>
    <cfRule type="expression" dxfId="2247" priority="2279">
      <formula>AND(M25="E△",N25="I3")</formula>
    </cfRule>
    <cfRule type="expression" dxfId="2246" priority="2280">
      <formula>AND(M25="E△",N25="A3")</formula>
    </cfRule>
    <cfRule type="expression" dxfId="2245" priority="2281">
      <formula>AND(M25="E▲",N25="Co辦")</formula>
    </cfRule>
    <cfRule type="expression" dxfId="2244" priority="2282">
      <formula>AND(M25="E▲",N25="Y7")</formula>
    </cfRule>
    <cfRule type="expression" dxfId="2243" priority="2283">
      <formula>AND(M25="E▲",N25="D1台")</formula>
    </cfRule>
    <cfRule type="expression" dxfId="2242" priority="2284">
      <formula>AND(M25="E▲",N25="M台")</formula>
    </cfRule>
    <cfRule type="expression" dxfId="2241" priority="2285">
      <formula>AND(M25="E▲",N25="T台")</formula>
    </cfRule>
    <cfRule type="expression" dxfId="2240" priority="2286">
      <formula>AND(M25="E▲",N25="M5")</formula>
    </cfRule>
    <cfRule type="expression" dxfId="2239" priority="2287">
      <formula>AND(M25="E▲",N25="H7")</formula>
    </cfRule>
    <cfRule type="expression" dxfId="2238" priority="2288">
      <formula>AND(M25="E▲",N25="CO☆")</formula>
    </cfRule>
    <cfRule type="expression" dxfId="2237" priority="2289">
      <formula>AND(M25="E▲",N25="D▲")</formula>
    </cfRule>
    <cfRule type="expression" dxfId="2236" priority="2290">
      <formula>AND(M25="E▲",N25="D△")</formula>
    </cfRule>
    <cfRule type="expression" dxfId="2235" priority="2291">
      <formula>AND(M25="E▲",N25="D7")</formula>
    </cfRule>
    <cfRule type="expression" dxfId="2234" priority="2292">
      <formula>AND(M25="E▲",N25="D6")</formula>
    </cfRule>
    <cfRule type="expression" dxfId="2233" priority="2293">
      <formula>AND(M25="E▲",N25="I3")</formula>
    </cfRule>
    <cfRule type="expression" dxfId="2232" priority="2294">
      <formula>AND(M25="E▲",N25="A3")</formula>
    </cfRule>
  </conditionalFormatting>
  <conditionalFormatting sqref="M25">
    <cfRule type="expression" dxfId="2231" priority="2171">
      <formula>AND(L25="W7",M25="P5")</formula>
    </cfRule>
    <cfRule type="expression" dxfId="2230" priority="2172">
      <formula>AND(L25="E6",M25="P5")</formula>
    </cfRule>
    <cfRule type="expression" dxfId="2229" priority="2173">
      <formula>AND(L25="E△",M25="P5")</formula>
    </cfRule>
    <cfRule type="expression" dxfId="2228" priority="2174">
      <formula>AND(L25="E▲",M25="P5")</formula>
    </cfRule>
    <cfRule type="expression" dxfId="2227" priority="2175">
      <formula>AND(L25="E▲",M25="D1☆")</formula>
    </cfRule>
    <cfRule type="expression" dxfId="2226" priority="2176">
      <formula>AND(L25="E△",M25="D1☆")</formula>
    </cfRule>
    <cfRule type="expression" dxfId="2225" priority="2177">
      <formula>AND(L25="E6",M25="D1☆")</formula>
    </cfRule>
    <cfRule type="expression" dxfId="2224" priority="2178">
      <formula>AND(L25="W7",M25="D1☆")</formula>
    </cfRule>
    <cfRule type="expression" dxfId="2223" priority="2179">
      <formula>AND(L25="W7",M25="D6")</formula>
    </cfRule>
    <cfRule type="expression" dxfId="2222" priority="2180">
      <formula>AND(L25="W7",M25="D7")</formula>
    </cfRule>
    <cfRule type="expression" dxfId="2221" priority="2181">
      <formula>AND(L25="W7",M25="D△")</formula>
    </cfRule>
    <cfRule type="expression" dxfId="2220" priority="2182">
      <formula>AND(L25="W7",M25="D▲")</formula>
    </cfRule>
    <cfRule type="expression" dxfId="2219" priority="2183">
      <formula>AND(L25="W7",M25="CO☆")</formula>
    </cfRule>
    <cfRule type="expression" dxfId="2218" priority="2184">
      <formula>AND(L25="W7",M25="H5")</formula>
    </cfRule>
    <cfRule type="expression" dxfId="2217" priority="2185">
      <formula>AND(L25="W7",M25="M5")</formula>
    </cfRule>
    <cfRule type="expression" dxfId="2216" priority="2186">
      <formula>AND(L25="W7",M25="T台")</formula>
    </cfRule>
    <cfRule type="expression" dxfId="2215" priority="2187">
      <formula>AND(L25="W7",M25="M台")</formula>
    </cfRule>
    <cfRule type="expression" dxfId="2214" priority="2188">
      <formula>AND(L25="W7",M25="D1台")</formula>
    </cfRule>
    <cfRule type="expression" dxfId="2213" priority="2189">
      <formula>AND(L25="W7",M25="Y7")</formula>
    </cfRule>
    <cfRule type="expression" dxfId="2212" priority="2190">
      <formula>AND(L25="W7",M25="Co辦")</formula>
    </cfRule>
    <cfRule type="expression" dxfId="2211" priority="2191">
      <formula>AND(L25="E6",M25="Co辦")</formula>
    </cfRule>
    <cfRule type="expression" dxfId="2210" priority="2192">
      <formula>AND(L25="E6",M25="Y7")</formula>
    </cfRule>
    <cfRule type="expression" dxfId="2209" priority="2193">
      <formula>AND(L25="E6",M25="D1台")</formula>
    </cfRule>
    <cfRule type="expression" dxfId="2208" priority="2194">
      <formula>AND(L25="E6",M25="M台")</formula>
    </cfRule>
    <cfRule type="expression" dxfId="2207" priority="2195">
      <formula>AND(L25="E6",M25="T台")</formula>
    </cfRule>
    <cfRule type="expression" dxfId="2206" priority="2196">
      <formula>AND(L25="E6",M25="M5")</formula>
    </cfRule>
    <cfRule type="expression" dxfId="2205" priority="2197">
      <formula>AND(L25="E6",M25="H5")</formula>
    </cfRule>
    <cfRule type="expression" dxfId="2204" priority="2198">
      <formula>AND(L25="E6",M25="CO☆")</formula>
    </cfRule>
    <cfRule type="expression" dxfId="2203" priority="2199">
      <formula>AND(L25="E6",M25="D▲")</formula>
    </cfRule>
    <cfRule type="expression" dxfId="2202" priority="2200">
      <formula>AND(L25="E6",M25="D△")</formula>
    </cfRule>
    <cfRule type="expression" dxfId="2201" priority="2201">
      <formula>AND(L25="E6",M25="D7")</formula>
    </cfRule>
    <cfRule type="expression" dxfId="2200" priority="2202">
      <formula>AND(L25="E6",M25="D6")</formula>
    </cfRule>
    <cfRule type="expression" dxfId="2199" priority="2203">
      <formula>AND(L25="E6",M25="I3")</formula>
    </cfRule>
    <cfRule type="expression" dxfId="2198" priority="2204">
      <formula>AND(L25="E6",M25="A3")</formula>
    </cfRule>
    <cfRule type="expression" dxfId="2197" priority="2205">
      <formula>AND(L25="E△",M25="Co辦")</formula>
    </cfRule>
    <cfRule type="expression" dxfId="2196" priority="2206">
      <formula>AND(L25="E△",M25="Y7")</formula>
    </cfRule>
    <cfRule type="expression" dxfId="2195" priority="2207">
      <formula>AND(L25="E△",M25="D1台")</formula>
    </cfRule>
    <cfRule type="expression" dxfId="2194" priority="2208">
      <formula>AND(L25="E△",M25="M台")</formula>
    </cfRule>
    <cfRule type="expression" dxfId="2193" priority="2209">
      <formula>AND(L25="E△",M25="T台")</formula>
    </cfRule>
    <cfRule type="expression" dxfId="2192" priority="2210">
      <formula>AND(L25="E△",M25="M5")</formula>
    </cfRule>
    <cfRule type="expression" dxfId="2191" priority="2211">
      <formula>AND(L25="E△",M25="H5")</formula>
    </cfRule>
    <cfRule type="expression" dxfId="2190" priority="2212">
      <formula>AND(L25="E△",M25="CO☆")</formula>
    </cfRule>
    <cfRule type="expression" dxfId="2189" priority="2213">
      <formula>AND(L25="E△",M25="D▲")</formula>
    </cfRule>
    <cfRule type="expression" dxfId="2188" priority="2214">
      <formula>AND(L25="E△",M25="D△")</formula>
    </cfRule>
    <cfRule type="expression" dxfId="2187" priority="2215">
      <formula>AND(L25="E△",M25="D7")</formula>
    </cfRule>
    <cfRule type="expression" dxfId="2186" priority="2216">
      <formula>AND(L25="E△",M25="D6")</formula>
    </cfRule>
    <cfRule type="expression" dxfId="2185" priority="2217">
      <formula>AND(L25="E△",M25="I3")</formula>
    </cfRule>
    <cfRule type="expression" dxfId="2184" priority="2218">
      <formula>AND(L25="E△",M25="A3")</formula>
    </cfRule>
    <cfRule type="expression" dxfId="2183" priority="2219">
      <formula>AND(L25="E▲",M25="Co辦")</formula>
    </cfRule>
    <cfRule type="expression" dxfId="2182" priority="2220">
      <formula>AND(L25="E▲",M25="Y7")</formula>
    </cfRule>
    <cfRule type="expression" dxfId="2181" priority="2221">
      <formula>AND(L25="E▲",M25="D1台")</formula>
    </cfRule>
    <cfRule type="expression" dxfId="2180" priority="2222">
      <formula>AND(L25="E▲",M25="M台")</formula>
    </cfRule>
    <cfRule type="expression" dxfId="2179" priority="2223">
      <formula>AND(L25="E▲",M25="T台")</formula>
    </cfRule>
    <cfRule type="expression" dxfId="2178" priority="2224">
      <formula>AND(L25="E▲",M25="M5")</formula>
    </cfRule>
    <cfRule type="expression" dxfId="2177" priority="2225">
      <formula>AND(L25="E▲",M25="H7")</formula>
    </cfRule>
    <cfRule type="expression" dxfId="2176" priority="2226">
      <formula>AND(L25="E▲",M25="CO☆")</formula>
    </cfRule>
    <cfRule type="expression" dxfId="2175" priority="2227">
      <formula>AND(L25="E▲",M25="D▲")</formula>
    </cfRule>
    <cfRule type="expression" dxfId="2174" priority="2228">
      <formula>AND(L25="E▲",M25="D△")</formula>
    </cfRule>
    <cfRule type="expression" dxfId="2173" priority="2229">
      <formula>AND(L25="E▲",M25="D7")</formula>
    </cfRule>
    <cfRule type="expression" dxfId="2172" priority="2230">
      <formula>AND(L25="E▲",M25="D6")</formula>
    </cfRule>
    <cfRule type="expression" dxfId="2171" priority="2231">
      <formula>AND(L25="E▲",M25="I3")</formula>
    </cfRule>
    <cfRule type="expression" dxfId="2170" priority="2232">
      <formula>AND(L25="E▲",M25="A3")</formula>
    </cfRule>
  </conditionalFormatting>
  <conditionalFormatting sqref="S22">
    <cfRule type="expression" dxfId="2169" priority="2109">
      <formula>AND(R22="W7",S22="P5")</formula>
    </cfRule>
    <cfRule type="expression" dxfId="2168" priority="2110">
      <formula>AND(R22="E6",S22="P5")</formula>
    </cfRule>
    <cfRule type="expression" dxfId="2167" priority="2111">
      <formula>AND(R22="E△",S22="P5")</formula>
    </cfRule>
    <cfRule type="expression" dxfId="2166" priority="2112">
      <formula>AND(R22="E▲",S22="P5")</formula>
    </cfRule>
    <cfRule type="expression" dxfId="2165" priority="2113">
      <formula>AND(R22="E▲",S22="D1☆")</formula>
    </cfRule>
    <cfRule type="expression" dxfId="2164" priority="2114">
      <formula>AND(R22="E△",S22="D1☆")</formula>
    </cfRule>
    <cfRule type="expression" dxfId="2163" priority="2115">
      <formula>AND(R22="E",S22="D1☆")</formula>
    </cfRule>
    <cfRule type="expression" dxfId="2162" priority="2116">
      <formula>AND(R22="W6",S22="D1☆")</formula>
    </cfRule>
    <cfRule type="expression" dxfId="2161" priority="2117">
      <formula>AND(R22="W6",S22="D")</formula>
    </cfRule>
    <cfRule type="expression" dxfId="2160" priority="2118">
      <formula>AND(R22="W6",S22="Dx")</formula>
    </cfRule>
    <cfRule type="expression" dxfId="2159" priority="2119">
      <formula>AND(R22="W6",S22="D△")</formula>
    </cfRule>
    <cfRule type="expression" dxfId="2158" priority="2120">
      <formula>AND(R22="W6",S22="D▲")</formula>
    </cfRule>
    <cfRule type="expression" dxfId="2157" priority="2121">
      <formula>AND(R22="W6",S22="CO☆")</formula>
    </cfRule>
    <cfRule type="expression" dxfId="2156" priority="2122">
      <formula>AND(R22="W6",S22="H7")</formula>
    </cfRule>
    <cfRule type="expression" dxfId="2155" priority="2123">
      <formula>AND(R22="W6",S22="M7")</formula>
    </cfRule>
    <cfRule type="expression" dxfId="2154" priority="2124">
      <formula>AND(R22="W6",S22="T台")</formula>
    </cfRule>
    <cfRule type="expression" dxfId="2153" priority="2125">
      <formula>AND(R22="W6",S22="M台")</formula>
    </cfRule>
    <cfRule type="expression" dxfId="2152" priority="2126">
      <formula>AND(R22="W6",S22="D1台")</formula>
    </cfRule>
    <cfRule type="expression" dxfId="2151" priority="2127">
      <formula>AND(R22="W6",S22="Y6")</formula>
    </cfRule>
    <cfRule type="expression" dxfId="2150" priority="2128">
      <formula>AND(R22="W6",S22="Co辦")</formula>
    </cfRule>
    <cfRule type="expression" dxfId="2149" priority="2129">
      <formula>AND(R22="E",S22="Co辦")</formula>
    </cfRule>
    <cfRule type="expression" dxfId="2148" priority="2130">
      <formula>AND(R22="E",S22="Y6")</formula>
    </cfRule>
    <cfRule type="expression" dxfId="2147" priority="2131">
      <formula>AND(R22="E",S22="D1台")</formula>
    </cfRule>
    <cfRule type="expression" dxfId="2146" priority="2132">
      <formula>AND(R22="E",S22="M台")</formula>
    </cfRule>
    <cfRule type="expression" dxfId="2145" priority="2133">
      <formula>AND(R22="E",S22="T台")</formula>
    </cfRule>
    <cfRule type="expression" dxfId="2144" priority="2134">
      <formula>AND(R22="E",S22="M7")</formula>
    </cfRule>
    <cfRule type="expression" dxfId="2143" priority="2135">
      <formula>AND(R22="E",S22="H7")</formula>
    </cfRule>
    <cfRule type="expression" dxfId="2142" priority="2136">
      <formula>AND(R22="E",S22="CO☆")</formula>
    </cfRule>
    <cfRule type="expression" dxfId="2141" priority="2137">
      <formula>AND(R22="E",S22="D▲")</formula>
    </cfRule>
    <cfRule type="expression" dxfId="2140" priority="2138">
      <formula>AND(R22="E",S22="D△")</formula>
    </cfRule>
    <cfRule type="expression" dxfId="2139" priority="2139">
      <formula>AND(R22="E",S22="Dx")</formula>
    </cfRule>
    <cfRule type="expression" dxfId="2138" priority="2140">
      <formula>AND(R22="E",S22="D")</formula>
    </cfRule>
    <cfRule type="expression" dxfId="2137" priority="2141">
      <formula>AND(R22="E",S22="I3")</formula>
    </cfRule>
    <cfRule type="expression" dxfId="2136" priority="2142">
      <formula>AND(R22="E",S22="A")</formula>
    </cfRule>
    <cfRule type="expression" dxfId="2135" priority="2143">
      <formula>AND(R22="E△",S22="Co辦")</formula>
    </cfRule>
    <cfRule type="expression" dxfId="2134" priority="2144">
      <formula>AND(R22="E△",S22="Y6")</formula>
    </cfRule>
    <cfRule type="expression" dxfId="2133" priority="2145">
      <formula>AND(R22="E△",S22="D1台")</formula>
    </cfRule>
    <cfRule type="expression" dxfId="2132" priority="2146">
      <formula>AND(R22="E△",S22="M台")</formula>
    </cfRule>
    <cfRule type="expression" dxfId="2131" priority="2147">
      <formula>AND(R22="E△",S22="T台")</formula>
    </cfRule>
    <cfRule type="expression" dxfId="2130" priority="2148">
      <formula>AND(R22="E△",S22="M7")</formula>
    </cfRule>
    <cfRule type="expression" dxfId="2129" priority="2149">
      <formula>AND(R22="E△",S22="H7")</formula>
    </cfRule>
    <cfRule type="expression" dxfId="2128" priority="2150">
      <formula>AND(R22="E△",S22="CO☆")</formula>
    </cfRule>
    <cfRule type="expression" dxfId="2127" priority="2151">
      <formula>AND(R22="E△",S22="D▲")</formula>
    </cfRule>
    <cfRule type="expression" dxfId="2126" priority="2152">
      <formula>AND(R22="E△",S22="D△")</formula>
    </cfRule>
    <cfRule type="expression" dxfId="2125" priority="2153">
      <formula>AND(R22="E△",S22="Dx")</formula>
    </cfRule>
    <cfRule type="expression" dxfId="2124" priority="2154">
      <formula>AND(R22="E△",S22="I3")</formula>
    </cfRule>
    <cfRule type="expression" dxfId="2123" priority="2155">
      <formula>AND(R22="E△",S22="A")</formula>
    </cfRule>
    <cfRule type="expression" dxfId="2122" priority="2156">
      <formula>AND(R22="E△",S22="D")</formula>
    </cfRule>
    <cfRule type="expression" dxfId="2121" priority="2157">
      <formula>AND(R22="E▲",S22="D1台")</formula>
    </cfRule>
    <cfRule type="expression" dxfId="2120" priority="2158">
      <formula>AND(R22="E▲",S22="Co辦")</formula>
    </cfRule>
    <cfRule type="expression" dxfId="2119" priority="2159">
      <formula>AND(R22="E▲",S22="Y6")</formula>
    </cfRule>
    <cfRule type="expression" dxfId="2118" priority="2160">
      <formula>AND(R22="E▲",S22="M台")</formula>
    </cfRule>
    <cfRule type="expression" dxfId="2117" priority="2161">
      <formula>AND(R22="E▲",S22="T台")</formula>
    </cfRule>
    <cfRule type="expression" dxfId="2116" priority="2162">
      <formula>AND(R22="E▲",S22="M7")</formula>
    </cfRule>
    <cfRule type="expression" dxfId="2115" priority="2163">
      <formula>AND(R22="E▲",S22="H7")</formula>
    </cfRule>
    <cfRule type="expression" dxfId="2114" priority="2164">
      <formula>AND(R22="E▲",S22="CO☆")</formula>
    </cfRule>
    <cfRule type="expression" dxfId="2113" priority="2165">
      <formula>AND(R22="E▲",S22="D▲")</formula>
    </cfRule>
    <cfRule type="expression" dxfId="2112" priority="2166">
      <formula>AND(R22="E▲",S22="D△")</formula>
    </cfRule>
    <cfRule type="expression" dxfId="2111" priority="2167">
      <formula>AND(R22="E▲",S22="Dx")</formula>
    </cfRule>
    <cfRule type="expression" dxfId="2110" priority="2168">
      <formula>AND(R22="E▲",S22="D")</formula>
    </cfRule>
    <cfRule type="expression" dxfId="2109" priority="2169">
      <formula>AND(R22="E▲",S22="I3")</formula>
    </cfRule>
    <cfRule type="expression" dxfId="2108" priority="2170">
      <formula>AND(R22="E▲",S22="A")</formula>
    </cfRule>
  </conditionalFormatting>
  <conditionalFormatting sqref="S22">
    <cfRule type="expression" dxfId="2107" priority="2047">
      <formula>AND(R22="W7",S22="P5")</formula>
    </cfRule>
    <cfRule type="expression" dxfId="2106" priority="2048">
      <formula>AND(R22="E6",S22="P5")</formula>
    </cfRule>
    <cfRule type="expression" dxfId="2105" priority="2049">
      <formula>AND(R22="E△",S22="P5")</formula>
    </cfRule>
    <cfRule type="expression" dxfId="2104" priority="2050">
      <formula>AND(R22="E▲",S22="P5")</formula>
    </cfRule>
    <cfRule type="expression" dxfId="2103" priority="2051">
      <formula>AND(R22="E▲",S22="D1☆")</formula>
    </cfRule>
    <cfRule type="expression" dxfId="2102" priority="2052">
      <formula>AND(R22="E△",S22="D1☆")</formula>
    </cfRule>
    <cfRule type="expression" dxfId="2101" priority="2053">
      <formula>AND(R22="E6",S22="D1☆")</formula>
    </cfRule>
    <cfRule type="expression" dxfId="2100" priority="2054">
      <formula>AND(R22="W7",S22="D1☆")</formula>
    </cfRule>
    <cfRule type="expression" dxfId="2099" priority="2055">
      <formula>AND(R22="W7",S22="D6")</formula>
    </cfRule>
    <cfRule type="expression" dxfId="2098" priority="2056">
      <formula>AND(R22="W7",S22="D7")</formula>
    </cfRule>
    <cfRule type="expression" dxfId="2097" priority="2057">
      <formula>AND(R22="W7",S22="D△")</formula>
    </cfRule>
    <cfRule type="expression" dxfId="2096" priority="2058">
      <formula>AND(R22="W7",S22="D▲")</formula>
    </cfRule>
    <cfRule type="expression" dxfId="2095" priority="2059">
      <formula>AND(R22="W7",S22="CO☆")</formula>
    </cfRule>
    <cfRule type="expression" dxfId="2094" priority="2060">
      <formula>AND(R22="W7",S22="H5")</formula>
    </cfRule>
    <cfRule type="expression" dxfId="2093" priority="2061">
      <formula>AND(R22="W7",S22="M5")</formula>
    </cfRule>
    <cfRule type="expression" dxfId="2092" priority="2062">
      <formula>AND(R22="W7",S22="T台")</formula>
    </cfRule>
    <cfRule type="expression" dxfId="2091" priority="2063">
      <formula>AND(R22="W7",S22="M台")</formula>
    </cfRule>
    <cfRule type="expression" dxfId="2090" priority="2064">
      <formula>AND(R22="W7",S22="D1台")</formula>
    </cfRule>
    <cfRule type="expression" dxfId="2089" priority="2065">
      <formula>AND(R22="W7",S22="Y7")</formula>
    </cfRule>
    <cfRule type="expression" dxfId="2088" priority="2066">
      <formula>AND(R22="W7",S22="Co辦")</formula>
    </cfRule>
    <cfRule type="expression" dxfId="2087" priority="2067">
      <formula>AND(R22="E6",S22="Co辦")</formula>
    </cfRule>
    <cfRule type="expression" dxfId="2086" priority="2068">
      <formula>AND(R22="E6",S22="Y7")</formula>
    </cfRule>
    <cfRule type="expression" dxfId="2085" priority="2069">
      <formula>AND(R22="E6",S22="D1台")</formula>
    </cfRule>
    <cfRule type="expression" dxfId="2084" priority="2070">
      <formula>AND(R22="E6",S22="M台")</formula>
    </cfRule>
    <cfRule type="expression" dxfId="2083" priority="2071">
      <formula>AND(R22="E6",S22="T台")</formula>
    </cfRule>
    <cfRule type="expression" dxfId="2082" priority="2072">
      <formula>AND(R22="E6",S22="M5")</formula>
    </cfRule>
    <cfRule type="expression" dxfId="2081" priority="2073">
      <formula>AND(R22="E6",S22="H5")</formula>
    </cfRule>
    <cfRule type="expression" dxfId="2080" priority="2074">
      <formula>AND(R22="E6",S22="CO☆")</formula>
    </cfRule>
    <cfRule type="expression" dxfId="2079" priority="2075">
      <formula>AND(R22="E6",S22="D▲")</formula>
    </cfRule>
    <cfRule type="expression" dxfId="2078" priority="2076">
      <formula>AND(R22="E6",S22="D△")</formula>
    </cfRule>
    <cfRule type="expression" dxfId="2077" priority="2077">
      <formula>AND(R22="E6",S22="D7")</formula>
    </cfRule>
    <cfRule type="expression" dxfId="2076" priority="2078">
      <formula>AND(R22="E6",S22="D6")</formula>
    </cfRule>
    <cfRule type="expression" dxfId="2075" priority="2079">
      <formula>AND(R22="E6",S22="I3")</formula>
    </cfRule>
    <cfRule type="expression" dxfId="2074" priority="2080">
      <formula>AND(R22="E6",S22="A3")</formula>
    </cfRule>
    <cfRule type="expression" dxfId="2073" priority="2081">
      <formula>AND(R22="E△",S22="Co辦")</formula>
    </cfRule>
    <cfRule type="expression" dxfId="2072" priority="2082">
      <formula>AND(R22="E△",S22="Y7")</formula>
    </cfRule>
    <cfRule type="expression" dxfId="2071" priority="2083">
      <formula>AND(R22="E△",S22="D1台")</formula>
    </cfRule>
    <cfRule type="expression" dxfId="2070" priority="2084">
      <formula>AND(R22="E△",S22="M台")</formula>
    </cfRule>
    <cfRule type="expression" dxfId="2069" priority="2085">
      <formula>AND(R22="E△",S22="T台")</formula>
    </cfRule>
    <cfRule type="expression" dxfId="2068" priority="2086">
      <formula>AND(R22="E△",S22="M5")</formula>
    </cfRule>
    <cfRule type="expression" dxfId="2067" priority="2087">
      <formula>AND(R22="E△",S22="H5")</formula>
    </cfRule>
    <cfRule type="expression" dxfId="2066" priority="2088">
      <formula>AND(R22="E△",S22="CO☆")</formula>
    </cfRule>
    <cfRule type="expression" dxfId="2065" priority="2089">
      <formula>AND(R22="E△",S22="D▲")</formula>
    </cfRule>
    <cfRule type="expression" dxfId="2064" priority="2090">
      <formula>AND(R22="E△",S22="D△")</formula>
    </cfRule>
    <cfRule type="expression" dxfId="2063" priority="2091">
      <formula>AND(R22="E△",S22="D7")</formula>
    </cfRule>
    <cfRule type="expression" dxfId="2062" priority="2092">
      <formula>AND(R22="E△",S22="D6")</formula>
    </cfRule>
    <cfRule type="expression" dxfId="2061" priority="2093">
      <formula>AND(R22="E△",S22="I3")</formula>
    </cfRule>
    <cfRule type="expression" dxfId="2060" priority="2094">
      <formula>AND(R22="E△",S22="A3")</formula>
    </cfRule>
    <cfRule type="expression" dxfId="2059" priority="2095">
      <formula>AND(R22="E▲",S22="Co辦")</formula>
    </cfRule>
    <cfRule type="expression" dxfId="2058" priority="2096">
      <formula>AND(R22="E▲",S22="Y7")</formula>
    </cfRule>
    <cfRule type="expression" dxfId="2057" priority="2097">
      <formula>AND(R22="E▲",S22="D1台")</formula>
    </cfRule>
    <cfRule type="expression" dxfId="2056" priority="2098">
      <formula>AND(R22="E▲",S22="M台")</formula>
    </cfRule>
    <cfRule type="expression" dxfId="2055" priority="2099">
      <formula>AND(R22="E▲",S22="T台")</formula>
    </cfRule>
    <cfRule type="expression" dxfId="2054" priority="2100">
      <formula>AND(R22="E▲",S22="M5")</formula>
    </cfRule>
    <cfRule type="expression" dxfId="2053" priority="2101">
      <formula>AND(R22="E▲",S22="H7")</formula>
    </cfRule>
    <cfRule type="expression" dxfId="2052" priority="2102">
      <formula>AND(R22="E▲",S22="CO☆")</formula>
    </cfRule>
    <cfRule type="expression" dxfId="2051" priority="2103">
      <formula>AND(R22="E▲",S22="D▲")</formula>
    </cfRule>
    <cfRule type="expression" dxfId="2050" priority="2104">
      <formula>AND(R22="E▲",S22="D△")</formula>
    </cfRule>
    <cfRule type="expression" dxfId="2049" priority="2105">
      <formula>AND(R22="E▲",S22="D7")</formula>
    </cfRule>
    <cfRule type="expression" dxfId="2048" priority="2106">
      <formula>AND(R22="E▲",S22="D6")</formula>
    </cfRule>
    <cfRule type="expression" dxfId="2047" priority="2107">
      <formula>AND(R22="E▲",S22="I3")</formula>
    </cfRule>
    <cfRule type="expression" dxfId="2046" priority="2108">
      <formula>AND(R22="E▲",S22="A3")</formula>
    </cfRule>
  </conditionalFormatting>
  <conditionalFormatting sqref="Q20">
    <cfRule type="expression" dxfId="2045" priority="1985">
      <formula>AND(P20="W7",Q20="P5")</formula>
    </cfRule>
    <cfRule type="expression" dxfId="2044" priority="1986">
      <formula>AND(P20="E6",Q20="P5")</formula>
    </cfRule>
    <cfRule type="expression" dxfId="2043" priority="1987">
      <formula>AND(P20="E△",Q20="P5")</formula>
    </cfRule>
    <cfRule type="expression" dxfId="2042" priority="1988">
      <formula>AND(P20="E▲",Q20="P5")</formula>
    </cfRule>
    <cfRule type="expression" dxfId="2041" priority="1989">
      <formula>AND(P20="E▲",Q20="D1☆")</formula>
    </cfRule>
    <cfRule type="expression" dxfId="2040" priority="1990">
      <formula>AND(P20="E△",Q20="D1☆")</formula>
    </cfRule>
    <cfRule type="expression" dxfId="2039" priority="1991">
      <formula>AND(P20="E",Q20="D1☆")</formula>
    </cfRule>
    <cfRule type="expression" dxfId="2038" priority="1992">
      <formula>AND(P20="W6",Q20="D1☆")</formula>
    </cfRule>
    <cfRule type="expression" dxfId="2037" priority="1993">
      <formula>AND(P20="W6",Q20="D")</formula>
    </cfRule>
    <cfRule type="expression" dxfId="2036" priority="1994">
      <formula>AND(P20="W6",Q20="Dx")</formula>
    </cfRule>
    <cfRule type="expression" dxfId="2035" priority="1995">
      <formula>AND(P20="W6",Q20="D△")</formula>
    </cfRule>
    <cfRule type="expression" dxfId="2034" priority="1996">
      <formula>AND(P20="W6",Q20="D▲")</formula>
    </cfRule>
    <cfRule type="expression" dxfId="2033" priority="1997">
      <formula>AND(P20="W6",Q20="CO☆")</formula>
    </cfRule>
    <cfRule type="expression" dxfId="2032" priority="1998">
      <formula>AND(P20="W6",Q20="H7")</formula>
    </cfRule>
    <cfRule type="expression" dxfId="2031" priority="1999">
      <formula>AND(P20="W6",Q20="M7")</formula>
    </cfRule>
    <cfRule type="expression" dxfId="2030" priority="2000">
      <formula>AND(P20="W6",Q20="T台")</formula>
    </cfRule>
    <cfRule type="expression" dxfId="2029" priority="2001">
      <formula>AND(P20="W6",Q20="M台")</formula>
    </cfRule>
    <cfRule type="expression" dxfId="2028" priority="2002">
      <formula>AND(P20="W6",Q20="D1台")</formula>
    </cfRule>
    <cfRule type="expression" dxfId="2027" priority="2003">
      <formula>AND(P20="W6",Q20="Y6")</formula>
    </cfRule>
    <cfRule type="expression" dxfId="2026" priority="2004">
      <formula>AND(P20="W6",Q20="Co辦")</formula>
    </cfRule>
    <cfRule type="expression" dxfId="2025" priority="2005">
      <formula>AND(P20="E",Q20="Co辦")</formula>
    </cfRule>
    <cfRule type="expression" dxfId="2024" priority="2006">
      <formula>AND(P20="E",Q20="Y6")</formula>
    </cfRule>
    <cfRule type="expression" dxfId="2023" priority="2007">
      <formula>AND(P20="E",Q20="D1台")</formula>
    </cfRule>
    <cfRule type="expression" dxfId="2022" priority="2008">
      <formula>AND(P20="E",Q20="M台")</formula>
    </cfRule>
    <cfRule type="expression" dxfId="2021" priority="2009">
      <formula>AND(P20="E",Q20="T台")</formula>
    </cfRule>
    <cfRule type="expression" dxfId="2020" priority="2010">
      <formula>AND(P20="E",Q20="M7")</formula>
    </cfRule>
    <cfRule type="expression" dxfId="2019" priority="2011">
      <formula>AND(P20="E",Q20="H7")</formula>
    </cfRule>
    <cfRule type="expression" dxfId="2018" priority="2012">
      <formula>AND(P20="E",Q20="CO☆")</formula>
    </cfRule>
    <cfRule type="expression" dxfId="2017" priority="2013">
      <formula>AND(P20="E",Q20="D▲")</formula>
    </cfRule>
    <cfRule type="expression" dxfId="2016" priority="2014">
      <formula>AND(P20="E",Q20="D△")</formula>
    </cfRule>
    <cfRule type="expression" dxfId="2015" priority="2015">
      <formula>AND(P20="E",Q20="Dx")</formula>
    </cfRule>
    <cfRule type="expression" dxfId="2014" priority="2016">
      <formula>AND(P20="E",Q20="D")</formula>
    </cfRule>
    <cfRule type="expression" dxfId="2013" priority="2017">
      <formula>AND(P20="E",Q20="I3")</formula>
    </cfRule>
    <cfRule type="expression" dxfId="2012" priority="2018">
      <formula>AND(P20="E",Q20="A")</formula>
    </cfRule>
    <cfRule type="expression" dxfId="2011" priority="2019">
      <formula>AND(P20="E△",Q20="Co辦")</formula>
    </cfRule>
    <cfRule type="expression" dxfId="2010" priority="2020">
      <formula>AND(P20="E△",Q20="Y6")</formula>
    </cfRule>
    <cfRule type="expression" dxfId="2009" priority="2021">
      <formula>AND(P20="E△",Q20="D1台")</formula>
    </cfRule>
    <cfRule type="expression" dxfId="2008" priority="2022">
      <formula>AND(P20="E△",Q20="M台")</formula>
    </cfRule>
    <cfRule type="expression" dxfId="2007" priority="2023">
      <formula>AND(P20="E△",Q20="T台")</formula>
    </cfRule>
    <cfRule type="expression" dxfId="2006" priority="2024">
      <formula>AND(P20="E△",Q20="M7")</formula>
    </cfRule>
    <cfRule type="expression" dxfId="2005" priority="2025">
      <formula>AND(P20="E△",Q20="H7")</formula>
    </cfRule>
    <cfRule type="expression" dxfId="2004" priority="2026">
      <formula>AND(P20="E△",Q20="CO☆")</formula>
    </cfRule>
    <cfRule type="expression" dxfId="2003" priority="2027">
      <formula>AND(P20="E△",Q20="D▲")</formula>
    </cfRule>
    <cfRule type="expression" dxfId="2002" priority="2028">
      <formula>AND(P20="E△",Q20="D△")</formula>
    </cfRule>
    <cfRule type="expression" dxfId="2001" priority="2029">
      <formula>AND(P20="E△",Q20="Dx")</formula>
    </cfRule>
    <cfRule type="expression" dxfId="2000" priority="2030">
      <formula>AND(P20="E△",Q20="I3")</formula>
    </cfRule>
    <cfRule type="expression" dxfId="1999" priority="2031">
      <formula>AND(P20="E△",Q20="A")</formula>
    </cfRule>
    <cfRule type="expression" dxfId="1998" priority="2032">
      <formula>AND(P20="E△",Q20="D")</formula>
    </cfRule>
    <cfRule type="expression" dxfId="1997" priority="2033">
      <formula>AND(P20="E▲",Q20="D1台")</formula>
    </cfRule>
    <cfRule type="expression" dxfId="1996" priority="2034">
      <formula>AND(P20="E▲",Q20="Co辦")</formula>
    </cfRule>
    <cfRule type="expression" dxfId="1995" priority="2035">
      <formula>AND(P20="E▲",Q20="Y6")</formula>
    </cfRule>
    <cfRule type="expression" dxfId="1994" priority="2036">
      <formula>AND(P20="E▲",Q20="M台")</formula>
    </cfRule>
    <cfRule type="expression" dxfId="1993" priority="2037">
      <formula>AND(P20="E▲",Q20="T台")</formula>
    </cfRule>
    <cfRule type="expression" dxfId="1992" priority="2038">
      <formula>AND(P20="E▲",Q20="M7")</formula>
    </cfRule>
    <cfRule type="expression" dxfId="1991" priority="2039">
      <formula>AND(P20="E▲",Q20="H7")</formula>
    </cfRule>
    <cfRule type="expression" dxfId="1990" priority="2040">
      <formula>AND(P20="E▲",Q20="CO☆")</formula>
    </cfRule>
    <cfRule type="expression" dxfId="1989" priority="2041">
      <formula>AND(P20="E▲",Q20="D▲")</formula>
    </cfRule>
    <cfRule type="expression" dxfId="1988" priority="2042">
      <formula>AND(P20="E▲",Q20="D△")</formula>
    </cfRule>
    <cfRule type="expression" dxfId="1987" priority="2043">
      <formula>AND(P20="E▲",Q20="Dx")</formula>
    </cfRule>
    <cfRule type="expression" dxfId="1986" priority="2044">
      <formula>AND(P20="E▲",Q20="D")</formula>
    </cfRule>
    <cfRule type="expression" dxfId="1985" priority="2045">
      <formula>AND(P20="E▲",Q20="I3")</formula>
    </cfRule>
    <cfRule type="expression" dxfId="1984" priority="2046">
      <formula>AND(P20="E▲",Q20="A")</formula>
    </cfRule>
  </conditionalFormatting>
  <conditionalFormatting sqref="Q20">
    <cfRule type="expression" dxfId="1983" priority="1923">
      <formula>AND(P20="W7",Q20="P5")</formula>
    </cfRule>
    <cfRule type="expression" dxfId="1982" priority="1924">
      <formula>AND(P20="E6",Q20="P5")</formula>
    </cfRule>
    <cfRule type="expression" dxfId="1981" priority="1925">
      <formula>AND(P20="E△",Q20="P5")</formula>
    </cfRule>
    <cfRule type="expression" dxfId="1980" priority="1926">
      <formula>AND(P20="E▲",Q20="P5")</formula>
    </cfRule>
    <cfRule type="expression" dxfId="1979" priority="1927">
      <formula>AND(P20="E▲",Q20="D1☆")</formula>
    </cfRule>
    <cfRule type="expression" dxfId="1978" priority="1928">
      <formula>AND(P20="E△",Q20="D1☆")</formula>
    </cfRule>
    <cfRule type="expression" dxfId="1977" priority="1929">
      <formula>AND(P20="E6",Q20="D1☆")</formula>
    </cfRule>
    <cfRule type="expression" dxfId="1976" priority="1930">
      <formula>AND(P20="W7",Q20="D1☆")</formula>
    </cfRule>
    <cfRule type="expression" dxfId="1975" priority="1931">
      <formula>AND(P20="W7",Q20="D6")</formula>
    </cfRule>
    <cfRule type="expression" dxfId="1974" priority="1932">
      <formula>AND(P20="W7",Q20="D7")</formula>
    </cfRule>
    <cfRule type="expression" dxfId="1973" priority="1933">
      <formula>AND(P20="W7",Q20="D△")</formula>
    </cfRule>
    <cfRule type="expression" dxfId="1972" priority="1934">
      <formula>AND(P20="W7",Q20="D▲")</formula>
    </cfRule>
    <cfRule type="expression" dxfId="1971" priority="1935">
      <formula>AND(P20="W7",Q20="CO☆")</formula>
    </cfRule>
    <cfRule type="expression" dxfId="1970" priority="1936">
      <formula>AND(P20="W7",Q20="H5")</formula>
    </cfRule>
    <cfRule type="expression" dxfId="1969" priority="1937">
      <formula>AND(P20="W7",Q20="M5")</formula>
    </cfRule>
    <cfRule type="expression" dxfId="1968" priority="1938">
      <formula>AND(P20="W7",Q20="T台")</formula>
    </cfRule>
    <cfRule type="expression" dxfId="1967" priority="1939">
      <formula>AND(P20="W7",Q20="M台")</formula>
    </cfRule>
    <cfRule type="expression" dxfId="1966" priority="1940">
      <formula>AND(P20="W7",Q20="D1台")</formula>
    </cfRule>
    <cfRule type="expression" dxfId="1965" priority="1941">
      <formula>AND(P20="W7",Q20="Y7")</formula>
    </cfRule>
    <cfRule type="expression" dxfId="1964" priority="1942">
      <formula>AND(P20="W7",Q20="Co辦")</formula>
    </cfRule>
    <cfRule type="expression" dxfId="1963" priority="1943">
      <formula>AND(P20="E6",Q20="Co辦")</formula>
    </cfRule>
    <cfRule type="expression" dxfId="1962" priority="1944">
      <formula>AND(P20="E6",Q20="Y7")</formula>
    </cfRule>
    <cfRule type="expression" dxfId="1961" priority="1945">
      <formula>AND(P20="E6",Q20="D1台")</formula>
    </cfRule>
    <cfRule type="expression" dxfId="1960" priority="1946">
      <formula>AND(P20="E6",Q20="M台")</formula>
    </cfRule>
    <cfRule type="expression" dxfId="1959" priority="1947">
      <formula>AND(P20="E6",Q20="T台")</formula>
    </cfRule>
    <cfRule type="expression" dxfId="1958" priority="1948">
      <formula>AND(P20="E6",Q20="M5")</formula>
    </cfRule>
    <cfRule type="expression" dxfId="1957" priority="1949">
      <formula>AND(P20="E6",Q20="H5")</formula>
    </cfRule>
    <cfRule type="expression" dxfId="1956" priority="1950">
      <formula>AND(P20="E6",Q20="CO☆")</formula>
    </cfRule>
    <cfRule type="expression" dxfId="1955" priority="1951">
      <formula>AND(P20="E6",Q20="D▲")</formula>
    </cfRule>
    <cfRule type="expression" dxfId="1954" priority="1952">
      <formula>AND(P20="E6",Q20="D△")</formula>
    </cfRule>
    <cfRule type="expression" dxfId="1953" priority="1953">
      <formula>AND(P20="E6",Q20="D7")</formula>
    </cfRule>
    <cfRule type="expression" dxfId="1952" priority="1954">
      <formula>AND(P20="E6",Q20="D6")</formula>
    </cfRule>
    <cfRule type="expression" dxfId="1951" priority="1955">
      <formula>AND(P20="E6",Q20="I3")</formula>
    </cfRule>
    <cfRule type="expression" dxfId="1950" priority="1956">
      <formula>AND(P20="E6",Q20="A3")</formula>
    </cfRule>
    <cfRule type="expression" dxfId="1949" priority="1957">
      <formula>AND(P20="E△",Q20="Co辦")</formula>
    </cfRule>
    <cfRule type="expression" dxfId="1948" priority="1958">
      <formula>AND(P20="E△",Q20="Y7")</formula>
    </cfRule>
    <cfRule type="expression" dxfId="1947" priority="1959">
      <formula>AND(P20="E△",Q20="D1台")</formula>
    </cfRule>
    <cfRule type="expression" dxfId="1946" priority="1960">
      <formula>AND(P20="E△",Q20="M台")</formula>
    </cfRule>
    <cfRule type="expression" dxfId="1945" priority="1961">
      <formula>AND(P20="E△",Q20="T台")</formula>
    </cfRule>
    <cfRule type="expression" dxfId="1944" priority="1962">
      <formula>AND(P20="E△",Q20="M5")</formula>
    </cfRule>
    <cfRule type="expression" dxfId="1943" priority="1963">
      <formula>AND(P20="E△",Q20="H5")</formula>
    </cfRule>
    <cfRule type="expression" dxfId="1942" priority="1964">
      <formula>AND(P20="E△",Q20="CO☆")</formula>
    </cfRule>
    <cfRule type="expression" dxfId="1941" priority="1965">
      <formula>AND(P20="E△",Q20="D▲")</formula>
    </cfRule>
    <cfRule type="expression" dxfId="1940" priority="1966">
      <formula>AND(P20="E△",Q20="D△")</formula>
    </cfRule>
    <cfRule type="expression" dxfId="1939" priority="1967">
      <formula>AND(P20="E△",Q20="D7")</formula>
    </cfRule>
    <cfRule type="expression" dxfId="1938" priority="1968">
      <formula>AND(P20="E△",Q20="D6")</formula>
    </cfRule>
    <cfRule type="expression" dxfId="1937" priority="1969">
      <formula>AND(P20="E△",Q20="I3")</formula>
    </cfRule>
    <cfRule type="expression" dxfId="1936" priority="1970">
      <formula>AND(P20="E△",Q20="A3")</formula>
    </cfRule>
    <cfRule type="expression" dxfId="1935" priority="1971">
      <formula>AND(P20="E▲",Q20="Co辦")</formula>
    </cfRule>
    <cfRule type="expression" dxfId="1934" priority="1972">
      <formula>AND(P20="E▲",Q20="Y7")</formula>
    </cfRule>
    <cfRule type="expression" dxfId="1933" priority="1973">
      <formula>AND(P20="E▲",Q20="D1台")</formula>
    </cfRule>
    <cfRule type="expression" dxfId="1932" priority="1974">
      <formula>AND(P20="E▲",Q20="M台")</formula>
    </cfRule>
    <cfRule type="expression" dxfId="1931" priority="1975">
      <formula>AND(P20="E▲",Q20="T台")</formula>
    </cfRule>
    <cfRule type="expression" dxfId="1930" priority="1976">
      <formula>AND(P20="E▲",Q20="M5")</formula>
    </cfRule>
    <cfRule type="expression" dxfId="1929" priority="1977">
      <formula>AND(P20="E▲",Q20="H7")</formula>
    </cfRule>
    <cfRule type="expression" dxfId="1928" priority="1978">
      <formula>AND(P20="E▲",Q20="CO☆")</formula>
    </cfRule>
    <cfRule type="expression" dxfId="1927" priority="1979">
      <formula>AND(P20="E▲",Q20="D▲")</formula>
    </cfRule>
    <cfRule type="expression" dxfId="1926" priority="1980">
      <formula>AND(P20="E▲",Q20="D△")</formula>
    </cfRule>
    <cfRule type="expression" dxfId="1925" priority="1981">
      <formula>AND(P20="E▲",Q20="D7")</formula>
    </cfRule>
    <cfRule type="expression" dxfId="1924" priority="1982">
      <formula>AND(P20="E▲",Q20="D6")</formula>
    </cfRule>
    <cfRule type="expression" dxfId="1923" priority="1983">
      <formula>AND(P20="E▲",Q20="I3")</formula>
    </cfRule>
    <cfRule type="expression" dxfId="1922" priority="1984">
      <formula>AND(P20="E▲",Q20="A3")</formula>
    </cfRule>
  </conditionalFormatting>
  <conditionalFormatting sqref="R20">
    <cfRule type="expression" dxfId="1921" priority="1861">
      <formula>AND(Q20="W7",R20="P5")</formula>
    </cfRule>
    <cfRule type="expression" dxfId="1920" priority="1862">
      <formula>AND(Q20="E6",R20="P5")</formula>
    </cfRule>
    <cfRule type="expression" dxfId="1919" priority="1863">
      <formula>AND(Q20="E△",R20="P5")</formula>
    </cfRule>
    <cfRule type="expression" dxfId="1918" priority="1864">
      <formula>AND(Q20="E▲",R20="P5")</formula>
    </cfRule>
    <cfRule type="expression" dxfId="1917" priority="1865">
      <formula>AND(Q20="E▲",R20="D1☆")</formula>
    </cfRule>
    <cfRule type="expression" dxfId="1916" priority="1866">
      <formula>AND(Q20="E△",R20="D1☆")</formula>
    </cfRule>
    <cfRule type="expression" dxfId="1915" priority="1867">
      <formula>AND(Q20="E",R20="D1☆")</formula>
    </cfRule>
    <cfRule type="expression" dxfId="1914" priority="1868">
      <formula>AND(Q20="W6",R20="D1☆")</formula>
    </cfRule>
    <cfRule type="expression" dxfId="1913" priority="1869">
      <formula>AND(Q20="W6",R20="D")</formula>
    </cfRule>
    <cfRule type="expression" dxfId="1912" priority="1870">
      <formula>AND(Q20="W6",R20="Dx")</formula>
    </cfRule>
    <cfRule type="expression" dxfId="1911" priority="1871">
      <formula>AND(Q20="W6",R20="D△")</formula>
    </cfRule>
    <cfRule type="expression" dxfId="1910" priority="1872">
      <formula>AND(Q20="W6",R20="D▲")</formula>
    </cfRule>
    <cfRule type="expression" dxfId="1909" priority="1873">
      <formula>AND(Q20="W6",R20="CO☆")</formula>
    </cfRule>
    <cfRule type="expression" dxfId="1908" priority="1874">
      <formula>AND(Q20="W6",R20="H7")</formula>
    </cfRule>
    <cfRule type="expression" dxfId="1907" priority="1875">
      <formula>AND(Q20="W6",R20="M7")</formula>
    </cfRule>
    <cfRule type="expression" dxfId="1906" priority="1876">
      <formula>AND(Q20="W6",R20="T台")</formula>
    </cfRule>
    <cfRule type="expression" dxfId="1905" priority="1877">
      <formula>AND(Q20="W6",R20="M台")</formula>
    </cfRule>
    <cfRule type="expression" dxfId="1904" priority="1878">
      <formula>AND(Q20="W6",R20="D1台")</formula>
    </cfRule>
    <cfRule type="expression" dxfId="1903" priority="1879">
      <formula>AND(Q20="W6",R20="Y6")</formula>
    </cfRule>
    <cfRule type="expression" dxfId="1902" priority="1880">
      <formula>AND(Q20="W6",R20="Co辦")</formula>
    </cfRule>
    <cfRule type="expression" dxfId="1901" priority="1881">
      <formula>AND(Q20="E",R20="Co辦")</formula>
    </cfRule>
    <cfRule type="expression" dxfId="1900" priority="1882">
      <formula>AND(Q20="E",R20="Y6")</formula>
    </cfRule>
    <cfRule type="expression" dxfId="1899" priority="1883">
      <formula>AND(Q20="E",R20="D1台")</formula>
    </cfRule>
    <cfRule type="expression" dxfId="1898" priority="1884">
      <formula>AND(Q20="E",R20="M台")</formula>
    </cfRule>
    <cfRule type="expression" dxfId="1897" priority="1885">
      <formula>AND(Q20="E",R20="T台")</formula>
    </cfRule>
    <cfRule type="expression" dxfId="1896" priority="1886">
      <formula>AND(Q20="E",R20="M7")</formula>
    </cfRule>
    <cfRule type="expression" dxfId="1895" priority="1887">
      <formula>AND(Q20="E",R20="H7")</formula>
    </cfRule>
    <cfRule type="expression" dxfId="1894" priority="1888">
      <formula>AND(Q20="E",R20="CO☆")</formula>
    </cfRule>
    <cfRule type="expression" dxfId="1893" priority="1889">
      <formula>AND(Q20="E",R20="D▲")</formula>
    </cfRule>
    <cfRule type="expression" dxfId="1892" priority="1890">
      <formula>AND(Q20="E",R20="D△")</formula>
    </cfRule>
    <cfRule type="expression" dxfId="1891" priority="1891">
      <formula>AND(Q20="E",R20="Dx")</formula>
    </cfRule>
    <cfRule type="expression" dxfId="1890" priority="1892">
      <formula>AND(Q20="E",R20="D")</formula>
    </cfRule>
    <cfRule type="expression" dxfId="1889" priority="1893">
      <formula>AND(Q20="E",R20="I3")</formula>
    </cfRule>
    <cfRule type="expression" dxfId="1888" priority="1894">
      <formula>AND(Q20="E",R20="A")</formula>
    </cfRule>
    <cfRule type="expression" dxfId="1887" priority="1895">
      <formula>AND(Q20="E△",R20="Co辦")</formula>
    </cfRule>
    <cfRule type="expression" dxfId="1886" priority="1896">
      <formula>AND(Q20="E△",R20="Y6")</formula>
    </cfRule>
    <cfRule type="expression" dxfId="1885" priority="1897">
      <formula>AND(Q20="E△",R20="D1台")</formula>
    </cfRule>
    <cfRule type="expression" dxfId="1884" priority="1898">
      <formula>AND(Q20="E△",R20="M台")</formula>
    </cfRule>
    <cfRule type="expression" dxfId="1883" priority="1899">
      <formula>AND(Q20="E△",R20="T台")</formula>
    </cfRule>
    <cfRule type="expression" dxfId="1882" priority="1900">
      <formula>AND(Q20="E△",R20="M7")</formula>
    </cfRule>
    <cfRule type="expression" dxfId="1881" priority="1901">
      <formula>AND(Q20="E△",R20="H7")</formula>
    </cfRule>
    <cfRule type="expression" dxfId="1880" priority="1902">
      <formula>AND(Q20="E△",R20="CO☆")</formula>
    </cfRule>
    <cfRule type="expression" dxfId="1879" priority="1903">
      <formula>AND(Q20="E△",R20="D▲")</formula>
    </cfRule>
    <cfRule type="expression" dxfId="1878" priority="1904">
      <formula>AND(Q20="E△",R20="D△")</formula>
    </cfRule>
    <cfRule type="expression" dxfId="1877" priority="1905">
      <formula>AND(Q20="E△",R20="Dx")</formula>
    </cfRule>
    <cfRule type="expression" dxfId="1876" priority="1906">
      <formula>AND(Q20="E△",R20="I3")</formula>
    </cfRule>
    <cfRule type="expression" dxfId="1875" priority="1907">
      <formula>AND(Q20="E△",R20="A")</formula>
    </cfRule>
    <cfRule type="expression" dxfId="1874" priority="1908">
      <formula>AND(Q20="E△",R20="D")</formula>
    </cfRule>
    <cfRule type="expression" dxfId="1873" priority="1909">
      <formula>AND(Q20="E▲",R20="D1台")</formula>
    </cfRule>
    <cfRule type="expression" dxfId="1872" priority="1910">
      <formula>AND(Q20="E▲",R20="Co辦")</formula>
    </cfRule>
    <cfRule type="expression" dxfId="1871" priority="1911">
      <formula>AND(Q20="E▲",R20="Y6")</formula>
    </cfRule>
    <cfRule type="expression" dxfId="1870" priority="1912">
      <formula>AND(Q20="E▲",R20="M台")</formula>
    </cfRule>
    <cfRule type="expression" dxfId="1869" priority="1913">
      <formula>AND(Q20="E▲",R20="T台")</formula>
    </cfRule>
    <cfRule type="expression" dxfId="1868" priority="1914">
      <formula>AND(Q20="E▲",R20="M7")</formula>
    </cfRule>
    <cfRule type="expression" dxfId="1867" priority="1915">
      <formula>AND(Q20="E▲",R20="H7")</formula>
    </cfRule>
    <cfRule type="expression" dxfId="1866" priority="1916">
      <formula>AND(Q20="E▲",R20="CO☆")</formula>
    </cfRule>
    <cfRule type="expression" dxfId="1865" priority="1917">
      <formula>AND(Q20="E▲",R20="D▲")</formula>
    </cfRule>
    <cfRule type="expression" dxfId="1864" priority="1918">
      <formula>AND(Q20="E▲",R20="D△")</formula>
    </cfRule>
    <cfRule type="expression" dxfId="1863" priority="1919">
      <formula>AND(Q20="E▲",R20="Dx")</formula>
    </cfRule>
    <cfRule type="expression" dxfId="1862" priority="1920">
      <formula>AND(Q20="E▲",R20="D")</formula>
    </cfRule>
    <cfRule type="expression" dxfId="1861" priority="1921">
      <formula>AND(Q20="E▲",R20="I3")</formula>
    </cfRule>
    <cfRule type="expression" dxfId="1860" priority="1922">
      <formula>AND(Q20="E▲",R20="A")</formula>
    </cfRule>
  </conditionalFormatting>
  <conditionalFormatting sqref="R20">
    <cfRule type="expression" dxfId="1859" priority="1799">
      <formula>AND(Q20="W7",R20="P5")</formula>
    </cfRule>
    <cfRule type="expression" dxfId="1858" priority="1800">
      <formula>AND(Q20="E6",R20="P5")</formula>
    </cfRule>
    <cfRule type="expression" dxfId="1857" priority="1801">
      <formula>AND(Q20="E△",R20="P5")</formula>
    </cfRule>
    <cfRule type="expression" dxfId="1856" priority="1802">
      <formula>AND(Q20="E▲",R20="P5")</formula>
    </cfRule>
    <cfRule type="expression" dxfId="1855" priority="1803">
      <formula>AND(Q20="E▲",R20="D1☆")</formula>
    </cfRule>
    <cfRule type="expression" dxfId="1854" priority="1804">
      <formula>AND(Q20="E△",R20="D1☆")</formula>
    </cfRule>
    <cfRule type="expression" dxfId="1853" priority="1805">
      <formula>AND(Q20="E6",R20="D1☆")</formula>
    </cfRule>
    <cfRule type="expression" dxfId="1852" priority="1806">
      <formula>AND(Q20="W7",R20="D1☆")</formula>
    </cfRule>
    <cfRule type="expression" dxfId="1851" priority="1807">
      <formula>AND(Q20="W7",R20="D6")</formula>
    </cfRule>
    <cfRule type="expression" dxfId="1850" priority="1808">
      <formula>AND(Q20="W7",R20="D7")</formula>
    </cfRule>
    <cfRule type="expression" dxfId="1849" priority="1809">
      <formula>AND(Q20="W7",R20="D△")</formula>
    </cfRule>
    <cfRule type="expression" dxfId="1848" priority="1810">
      <formula>AND(Q20="W7",R20="D▲")</formula>
    </cfRule>
    <cfRule type="expression" dxfId="1847" priority="1811">
      <formula>AND(Q20="W7",R20="CO☆")</formula>
    </cfRule>
    <cfRule type="expression" dxfId="1846" priority="1812">
      <formula>AND(Q20="W7",R20="H5")</formula>
    </cfRule>
    <cfRule type="expression" dxfId="1845" priority="1813">
      <formula>AND(Q20="W7",R20="M5")</formula>
    </cfRule>
    <cfRule type="expression" dxfId="1844" priority="1814">
      <formula>AND(Q20="W7",R20="T台")</formula>
    </cfRule>
    <cfRule type="expression" dxfId="1843" priority="1815">
      <formula>AND(Q20="W7",R20="M台")</formula>
    </cfRule>
    <cfRule type="expression" dxfId="1842" priority="1816">
      <formula>AND(Q20="W7",R20="D1台")</formula>
    </cfRule>
    <cfRule type="expression" dxfId="1841" priority="1817">
      <formula>AND(Q20="W7",R20="Y7")</formula>
    </cfRule>
    <cfRule type="expression" dxfId="1840" priority="1818">
      <formula>AND(Q20="W7",R20="Co辦")</formula>
    </cfRule>
    <cfRule type="expression" dxfId="1839" priority="1819">
      <formula>AND(Q20="E6",R20="Co辦")</formula>
    </cfRule>
    <cfRule type="expression" dxfId="1838" priority="1820">
      <formula>AND(Q20="E6",R20="Y7")</formula>
    </cfRule>
    <cfRule type="expression" dxfId="1837" priority="1821">
      <formula>AND(Q20="E6",R20="D1台")</formula>
    </cfRule>
    <cfRule type="expression" dxfId="1836" priority="1822">
      <formula>AND(Q20="E6",R20="M台")</formula>
    </cfRule>
    <cfRule type="expression" dxfId="1835" priority="1823">
      <formula>AND(Q20="E6",R20="T台")</formula>
    </cfRule>
    <cfRule type="expression" dxfId="1834" priority="1824">
      <formula>AND(Q20="E6",R20="M5")</formula>
    </cfRule>
    <cfRule type="expression" dxfId="1833" priority="1825">
      <formula>AND(Q20="E6",R20="H5")</formula>
    </cfRule>
    <cfRule type="expression" dxfId="1832" priority="1826">
      <formula>AND(Q20="E6",R20="CO☆")</formula>
    </cfRule>
    <cfRule type="expression" dxfId="1831" priority="1827">
      <formula>AND(Q20="E6",R20="D▲")</formula>
    </cfRule>
    <cfRule type="expression" dxfId="1830" priority="1828">
      <formula>AND(Q20="E6",R20="D△")</formula>
    </cfRule>
    <cfRule type="expression" dxfId="1829" priority="1829">
      <formula>AND(Q20="E6",R20="D7")</formula>
    </cfRule>
    <cfRule type="expression" dxfId="1828" priority="1830">
      <formula>AND(Q20="E6",R20="D6")</formula>
    </cfRule>
    <cfRule type="expression" dxfId="1827" priority="1831">
      <formula>AND(Q20="E6",R20="I3")</formula>
    </cfRule>
    <cfRule type="expression" dxfId="1826" priority="1832">
      <formula>AND(Q20="E6",R20="A3")</formula>
    </cfRule>
    <cfRule type="expression" dxfId="1825" priority="1833">
      <formula>AND(Q20="E△",R20="Co辦")</formula>
    </cfRule>
    <cfRule type="expression" dxfId="1824" priority="1834">
      <formula>AND(Q20="E△",R20="Y7")</formula>
    </cfRule>
    <cfRule type="expression" dxfId="1823" priority="1835">
      <formula>AND(Q20="E△",R20="D1台")</formula>
    </cfRule>
    <cfRule type="expression" dxfId="1822" priority="1836">
      <formula>AND(Q20="E△",R20="M台")</formula>
    </cfRule>
    <cfRule type="expression" dxfId="1821" priority="1837">
      <formula>AND(Q20="E△",R20="T台")</formula>
    </cfRule>
    <cfRule type="expression" dxfId="1820" priority="1838">
      <formula>AND(Q20="E△",R20="M5")</formula>
    </cfRule>
    <cfRule type="expression" dxfId="1819" priority="1839">
      <formula>AND(Q20="E△",R20="H5")</formula>
    </cfRule>
    <cfRule type="expression" dxfId="1818" priority="1840">
      <formula>AND(Q20="E△",R20="CO☆")</formula>
    </cfRule>
    <cfRule type="expression" dxfId="1817" priority="1841">
      <formula>AND(Q20="E△",R20="D▲")</formula>
    </cfRule>
    <cfRule type="expression" dxfId="1816" priority="1842">
      <formula>AND(Q20="E△",R20="D△")</formula>
    </cfRule>
    <cfRule type="expression" dxfId="1815" priority="1843">
      <formula>AND(Q20="E△",R20="D7")</formula>
    </cfRule>
    <cfRule type="expression" dxfId="1814" priority="1844">
      <formula>AND(Q20="E△",R20="D6")</formula>
    </cfRule>
    <cfRule type="expression" dxfId="1813" priority="1845">
      <formula>AND(Q20="E△",R20="I3")</formula>
    </cfRule>
    <cfRule type="expression" dxfId="1812" priority="1846">
      <formula>AND(Q20="E△",R20="A3")</formula>
    </cfRule>
    <cfRule type="expression" dxfId="1811" priority="1847">
      <formula>AND(Q20="E▲",R20="Co辦")</formula>
    </cfRule>
    <cfRule type="expression" dxfId="1810" priority="1848">
      <formula>AND(Q20="E▲",R20="Y7")</formula>
    </cfRule>
    <cfRule type="expression" dxfId="1809" priority="1849">
      <formula>AND(Q20="E▲",R20="D1台")</formula>
    </cfRule>
    <cfRule type="expression" dxfId="1808" priority="1850">
      <formula>AND(Q20="E▲",R20="M台")</formula>
    </cfRule>
    <cfRule type="expression" dxfId="1807" priority="1851">
      <formula>AND(Q20="E▲",R20="T台")</formula>
    </cfRule>
    <cfRule type="expression" dxfId="1806" priority="1852">
      <formula>AND(Q20="E▲",R20="M5")</formula>
    </cfRule>
    <cfRule type="expression" dxfId="1805" priority="1853">
      <formula>AND(Q20="E▲",R20="H7")</formula>
    </cfRule>
    <cfRule type="expression" dxfId="1804" priority="1854">
      <formula>AND(Q20="E▲",R20="CO☆")</formula>
    </cfRule>
    <cfRule type="expression" dxfId="1803" priority="1855">
      <formula>AND(Q20="E▲",R20="D▲")</formula>
    </cfRule>
    <cfRule type="expression" dxfId="1802" priority="1856">
      <formula>AND(Q20="E▲",R20="D△")</formula>
    </cfRule>
    <cfRule type="expression" dxfId="1801" priority="1857">
      <formula>AND(Q20="E▲",R20="D7")</formula>
    </cfRule>
    <cfRule type="expression" dxfId="1800" priority="1858">
      <formula>AND(Q20="E▲",R20="D6")</formula>
    </cfRule>
    <cfRule type="expression" dxfId="1799" priority="1859">
      <formula>AND(Q20="E▲",R20="I3")</formula>
    </cfRule>
    <cfRule type="expression" dxfId="1798" priority="1860">
      <formula>AND(Q20="E▲",R20="A3")</formula>
    </cfRule>
  </conditionalFormatting>
  <conditionalFormatting sqref="S19">
    <cfRule type="expression" dxfId="1797" priority="1737">
      <formula>AND(R19="W7",S19="P5")</formula>
    </cfRule>
    <cfRule type="expression" dxfId="1796" priority="1738">
      <formula>AND(R19="E6",S19="P5")</formula>
    </cfRule>
    <cfRule type="expression" dxfId="1795" priority="1739">
      <formula>AND(R19="E△",S19="P5")</formula>
    </cfRule>
    <cfRule type="expression" dxfId="1794" priority="1740">
      <formula>AND(R19="E▲",S19="P5")</formula>
    </cfRule>
    <cfRule type="expression" dxfId="1793" priority="1741">
      <formula>AND(R19="E▲",S19="D1☆")</formula>
    </cfRule>
    <cfRule type="expression" dxfId="1792" priority="1742">
      <formula>AND(R19="E△",S19="D1☆")</formula>
    </cfRule>
    <cfRule type="expression" dxfId="1791" priority="1743">
      <formula>AND(R19="E",S19="D1☆")</formula>
    </cfRule>
    <cfRule type="expression" dxfId="1790" priority="1744">
      <formula>AND(R19="W6",S19="D1☆")</formula>
    </cfRule>
    <cfRule type="expression" dxfId="1789" priority="1745">
      <formula>AND(R19="W6",S19="D")</formula>
    </cfRule>
    <cfRule type="expression" dxfId="1788" priority="1746">
      <formula>AND(R19="W6",S19="Dx")</formula>
    </cfRule>
    <cfRule type="expression" dxfId="1787" priority="1747">
      <formula>AND(R19="W6",S19="D△")</formula>
    </cfRule>
    <cfRule type="expression" dxfId="1786" priority="1748">
      <formula>AND(R19="W6",S19="D▲")</formula>
    </cfRule>
    <cfRule type="expression" dxfId="1785" priority="1749">
      <formula>AND(R19="W6",S19="CO☆")</formula>
    </cfRule>
    <cfRule type="expression" dxfId="1784" priority="1750">
      <formula>AND(R19="W6",S19="H7")</formula>
    </cfRule>
    <cfRule type="expression" dxfId="1783" priority="1751">
      <formula>AND(R19="W6",S19="M7")</formula>
    </cfRule>
    <cfRule type="expression" dxfId="1782" priority="1752">
      <formula>AND(R19="W6",S19="T台")</formula>
    </cfRule>
    <cfRule type="expression" dxfId="1781" priority="1753">
      <formula>AND(R19="W6",S19="M台")</formula>
    </cfRule>
    <cfRule type="expression" dxfId="1780" priority="1754">
      <formula>AND(R19="W6",S19="D1台")</formula>
    </cfRule>
    <cfRule type="expression" dxfId="1779" priority="1755">
      <formula>AND(R19="W6",S19="Y6")</formula>
    </cfRule>
    <cfRule type="expression" dxfId="1778" priority="1756">
      <formula>AND(R19="W6",S19="Co辦")</formula>
    </cfRule>
    <cfRule type="expression" dxfId="1777" priority="1757">
      <formula>AND(R19="E",S19="Co辦")</formula>
    </cfRule>
    <cfRule type="expression" dxfId="1776" priority="1758">
      <formula>AND(R19="E",S19="Y6")</formula>
    </cfRule>
    <cfRule type="expression" dxfId="1775" priority="1759">
      <formula>AND(R19="E",S19="D1台")</formula>
    </cfRule>
    <cfRule type="expression" dxfId="1774" priority="1760">
      <formula>AND(R19="E",S19="M台")</formula>
    </cfRule>
    <cfRule type="expression" dxfId="1773" priority="1761">
      <formula>AND(R19="E",S19="T台")</formula>
    </cfRule>
    <cfRule type="expression" dxfId="1772" priority="1762">
      <formula>AND(R19="E",S19="M7")</formula>
    </cfRule>
    <cfRule type="expression" dxfId="1771" priority="1763">
      <formula>AND(R19="E",S19="H7")</formula>
    </cfRule>
    <cfRule type="expression" dxfId="1770" priority="1764">
      <formula>AND(R19="E",S19="CO☆")</formula>
    </cfRule>
    <cfRule type="expression" dxfId="1769" priority="1765">
      <formula>AND(R19="E",S19="D▲")</formula>
    </cfRule>
    <cfRule type="expression" dxfId="1768" priority="1766">
      <formula>AND(R19="E",S19="D△")</formula>
    </cfRule>
    <cfRule type="expression" dxfId="1767" priority="1767">
      <formula>AND(R19="E",S19="Dx")</formula>
    </cfRule>
    <cfRule type="expression" dxfId="1766" priority="1768">
      <formula>AND(R19="E",S19="D")</formula>
    </cfRule>
    <cfRule type="expression" dxfId="1765" priority="1769">
      <formula>AND(R19="E",S19="I3")</formula>
    </cfRule>
    <cfRule type="expression" dxfId="1764" priority="1770">
      <formula>AND(R19="E",S19="A")</formula>
    </cfRule>
    <cfRule type="expression" dxfId="1763" priority="1771">
      <formula>AND(R19="E△",S19="Co辦")</formula>
    </cfRule>
    <cfRule type="expression" dxfId="1762" priority="1772">
      <formula>AND(R19="E△",S19="Y6")</formula>
    </cfRule>
    <cfRule type="expression" dxfId="1761" priority="1773">
      <formula>AND(R19="E△",S19="D1台")</formula>
    </cfRule>
    <cfRule type="expression" dxfId="1760" priority="1774">
      <formula>AND(R19="E△",S19="M台")</formula>
    </cfRule>
    <cfRule type="expression" dxfId="1759" priority="1775">
      <formula>AND(R19="E△",S19="T台")</formula>
    </cfRule>
    <cfRule type="expression" dxfId="1758" priority="1776">
      <formula>AND(R19="E△",S19="M7")</formula>
    </cfRule>
    <cfRule type="expression" dxfId="1757" priority="1777">
      <formula>AND(R19="E△",S19="H7")</formula>
    </cfRule>
    <cfRule type="expression" dxfId="1756" priority="1778">
      <formula>AND(R19="E△",S19="CO☆")</formula>
    </cfRule>
    <cfRule type="expression" dxfId="1755" priority="1779">
      <formula>AND(R19="E△",S19="D▲")</formula>
    </cfRule>
    <cfRule type="expression" dxfId="1754" priority="1780">
      <formula>AND(R19="E△",S19="D△")</formula>
    </cfRule>
    <cfRule type="expression" dxfId="1753" priority="1781">
      <formula>AND(R19="E△",S19="Dx")</formula>
    </cfRule>
    <cfRule type="expression" dxfId="1752" priority="1782">
      <formula>AND(R19="E△",S19="I3")</formula>
    </cfRule>
    <cfRule type="expression" dxfId="1751" priority="1783">
      <formula>AND(R19="E△",S19="A")</formula>
    </cfRule>
    <cfRule type="expression" dxfId="1750" priority="1784">
      <formula>AND(R19="E△",S19="D")</formula>
    </cfRule>
    <cfRule type="expression" dxfId="1749" priority="1785">
      <formula>AND(R19="E▲",S19="D1台")</formula>
    </cfRule>
    <cfRule type="expression" dxfId="1748" priority="1786">
      <formula>AND(R19="E▲",S19="Co辦")</formula>
    </cfRule>
    <cfRule type="expression" dxfId="1747" priority="1787">
      <formula>AND(R19="E▲",S19="Y6")</formula>
    </cfRule>
    <cfRule type="expression" dxfId="1746" priority="1788">
      <formula>AND(R19="E▲",S19="M台")</formula>
    </cfRule>
    <cfRule type="expression" dxfId="1745" priority="1789">
      <formula>AND(R19="E▲",S19="T台")</formula>
    </cfRule>
    <cfRule type="expression" dxfId="1744" priority="1790">
      <formula>AND(R19="E▲",S19="M7")</formula>
    </cfRule>
    <cfRule type="expression" dxfId="1743" priority="1791">
      <formula>AND(R19="E▲",S19="H7")</formula>
    </cfRule>
    <cfRule type="expression" dxfId="1742" priority="1792">
      <formula>AND(R19="E▲",S19="CO☆")</formula>
    </cfRule>
    <cfRule type="expression" dxfId="1741" priority="1793">
      <formula>AND(R19="E▲",S19="D▲")</formula>
    </cfRule>
    <cfRule type="expression" dxfId="1740" priority="1794">
      <formula>AND(R19="E▲",S19="D△")</formula>
    </cfRule>
    <cfRule type="expression" dxfId="1739" priority="1795">
      <formula>AND(R19="E▲",S19="Dx")</formula>
    </cfRule>
    <cfRule type="expression" dxfId="1738" priority="1796">
      <formula>AND(R19="E▲",S19="D")</formula>
    </cfRule>
    <cfRule type="expression" dxfId="1737" priority="1797">
      <formula>AND(R19="E▲",S19="I3")</formula>
    </cfRule>
    <cfRule type="expression" dxfId="1736" priority="1798">
      <formula>AND(R19="E▲",S19="A")</formula>
    </cfRule>
  </conditionalFormatting>
  <conditionalFormatting sqref="S19">
    <cfRule type="expression" dxfId="1735" priority="1675">
      <formula>AND(R19="W7",S19="P5")</formula>
    </cfRule>
    <cfRule type="expression" dxfId="1734" priority="1676">
      <formula>AND(R19="E6",S19="P5")</formula>
    </cfRule>
    <cfRule type="expression" dxfId="1733" priority="1677">
      <formula>AND(R19="E△",S19="P5")</formula>
    </cfRule>
    <cfRule type="expression" dxfId="1732" priority="1678">
      <formula>AND(R19="E▲",S19="P5")</formula>
    </cfRule>
    <cfRule type="expression" dxfId="1731" priority="1679">
      <formula>AND(R19="E▲",S19="D1☆")</formula>
    </cfRule>
    <cfRule type="expression" dxfId="1730" priority="1680">
      <formula>AND(R19="E△",S19="D1☆")</formula>
    </cfRule>
    <cfRule type="expression" dxfId="1729" priority="1681">
      <formula>AND(R19="E6",S19="D1☆")</formula>
    </cfRule>
    <cfRule type="expression" dxfId="1728" priority="1682">
      <formula>AND(R19="W7",S19="D1☆")</formula>
    </cfRule>
    <cfRule type="expression" dxfId="1727" priority="1683">
      <formula>AND(R19="W7",S19="D6")</formula>
    </cfRule>
    <cfRule type="expression" dxfId="1726" priority="1684">
      <formula>AND(R19="W7",S19="D7")</formula>
    </cfRule>
    <cfRule type="expression" dxfId="1725" priority="1685">
      <formula>AND(R19="W7",S19="D△")</formula>
    </cfRule>
    <cfRule type="expression" dxfId="1724" priority="1686">
      <formula>AND(R19="W7",S19="D▲")</formula>
    </cfRule>
    <cfRule type="expression" dxfId="1723" priority="1687">
      <formula>AND(R19="W7",S19="CO☆")</formula>
    </cfRule>
    <cfRule type="expression" dxfId="1722" priority="1688">
      <formula>AND(R19="W7",S19="H5")</formula>
    </cfRule>
    <cfRule type="expression" dxfId="1721" priority="1689">
      <formula>AND(R19="W7",S19="M5")</formula>
    </cfRule>
    <cfRule type="expression" dxfId="1720" priority="1690">
      <formula>AND(R19="W7",S19="T台")</formula>
    </cfRule>
    <cfRule type="expression" dxfId="1719" priority="1691">
      <formula>AND(R19="W7",S19="M台")</formula>
    </cfRule>
    <cfRule type="expression" dxfId="1718" priority="1692">
      <formula>AND(R19="W7",S19="D1台")</formula>
    </cfRule>
    <cfRule type="expression" dxfId="1717" priority="1693">
      <formula>AND(R19="W7",S19="Y7")</formula>
    </cfRule>
    <cfRule type="expression" dxfId="1716" priority="1694">
      <formula>AND(R19="W7",S19="Co辦")</formula>
    </cfRule>
    <cfRule type="expression" dxfId="1715" priority="1695">
      <formula>AND(R19="E6",S19="Co辦")</formula>
    </cfRule>
    <cfRule type="expression" dxfId="1714" priority="1696">
      <formula>AND(R19="E6",S19="Y7")</formula>
    </cfRule>
    <cfRule type="expression" dxfId="1713" priority="1697">
      <formula>AND(R19="E6",S19="D1台")</formula>
    </cfRule>
    <cfRule type="expression" dxfId="1712" priority="1698">
      <formula>AND(R19="E6",S19="M台")</formula>
    </cfRule>
    <cfRule type="expression" dxfId="1711" priority="1699">
      <formula>AND(R19="E6",S19="T台")</formula>
    </cfRule>
    <cfRule type="expression" dxfId="1710" priority="1700">
      <formula>AND(R19="E6",S19="M5")</formula>
    </cfRule>
    <cfRule type="expression" dxfId="1709" priority="1701">
      <formula>AND(R19="E6",S19="H5")</formula>
    </cfRule>
    <cfRule type="expression" dxfId="1708" priority="1702">
      <formula>AND(R19="E6",S19="CO☆")</formula>
    </cfRule>
    <cfRule type="expression" dxfId="1707" priority="1703">
      <formula>AND(R19="E6",S19="D▲")</formula>
    </cfRule>
    <cfRule type="expression" dxfId="1706" priority="1704">
      <formula>AND(R19="E6",S19="D△")</formula>
    </cfRule>
    <cfRule type="expression" dxfId="1705" priority="1705">
      <formula>AND(R19="E6",S19="D7")</formula>
    </cfRule>
    <cfRule type="expression" dxfId="1704" priority="1706">
      <formula>AND(R19="E6",S19="D6")</formula>
    </cfRule>
    <cfRule type="expression" dxfId="1703" priority="1707">
      <formula>AND(R19="E6",S19="I3")</formula>
    </cfRule>
    <cfRule type="expression" dxfId="1702" priority="1708">
      <formula>AND(R19="E6",S19="A3")</formula>
    </cfRule>
    <cfRule type="expression" dxfId="1701" priority="1709">
      <formula>AND(R19="E△",S19="Co辦")</formula>
    </cfRule>
    <cfRule type="expression" dxfId="1700" priority="1710">
      <formula>AND(R19="E△",S19="Y7")</formula>
    </cfRule>
    <cfRule type="expression" dxfId="1699" priority="1711">
      <formula>AND(R19="E△",S19="D1台")</formula>
    </cfRule>
    <cfRule type="expression" dxfId="1698" priority="1712">
      <formula>AND(R19="E△",S19="M台")</formula>
    </cfRule>
    <cfRule type="expression" dxfId="1697" priority="1713">
      <formula>AND(R19="E△",S19="T台")</formula>
    </cfRule>
    <cfRule type="expression" dxfId="1696" priority="1714">
      <formula>AND(R19="E△",S19="M5")</formula>
    </cfRule>
    <cfRule type="expression" dxfId="1695" priority="1715">
      <formula>AND(R19="E△",S19="H5")</formula>
    </cfRule>
    <cfRule type="expression" dxfId="1694" priority="1716">
      <formula>AND(R19="E△",S19="CO☆")</formula>
    </cfRule>
    <cfRule type="expression" dxfId="1693" priority="1717">
      <formula>AND(R19="E△",S19="D▲")</formula>
    </cfRule>
    <cfRule type="expression" dxfId="1692" priority="1718">
      <formula>AND(R19="E△",S19="D△")</formula>
    </cfRule>
    <cfRule type="expression" dxfId="1691" priority="1719">
      <formula>AND(R19="E△",S19="D7")</formula>
    </cfRule>
    <cfRule type="expression" dxfId="1690" priority="1720">
      <formula>AND(R19="E△",S19="D6")</formula>
    </cfRule>
    <cfRule type="expression" dxfId="1689" priority="1721">
      <formula>AND(R19="E△",S19="I3")</formula>
    </cfRule>
    <cfRule type="expression" dxfId="1688" priority="1722">
      <formula>AND(R19="E△",S19="A3")</formula>
    </cfRule>
    <cfRule type="expression" dxfId="1687" priority="1723">
      <formula>AND(R19="E▲",S19="Co辦")</formula>
    </cfRule>
    <cfRule type="expression" dxfId="1686" priority="1724">
      <formula>AND(R19="E▲",S19="Y7")</formula>
    </cfRule>
    <cfRule type="expression" dxfId="1685" priority="1725">
      <formula>AND(R19="E▲",S19="D1台")</formula>
    </cfRule>
    <cfRule type="expression" dxfId="1684" priority="1726">
      <formula>AND(R19="E▲",S19="M台")</formula>
    </cfRule>
    <cfRule type="expression" dxfId="1683" priority="1727">
      <formula>AND(R19="E▲",S19="T台")</formula>
    </cfRule>
    <cfRule type="expression" dxfId="1682" priority="1728">
      <formula>AND(R19="E▲",S19="M5")</formula>
    </cfRule>
    <cfRule type="expression" dxfId="1681" priority="1729">
      <formula>AND(R19="E▲",S19="H7")</formula>
    </cfRule>
    <cfRule type="expression" dxfId="1680" priority="1730">
      <formula>AND(R19="E▲",S19="CO☆")</formula>
    </cfRule>
    <cfRule type="expression" dxfId="1679" priority="1731">
      <formula>AND(R19="E▲",S19="D▲")</formula>
    </cfRule>
    <cfRule type="expression" dxfId="1678" priority="1732">
      <formula>AND(R19="E▲",S19="D△")</formula>
    </cfRule>
    <cfRule type="expression" dxfId="1677" priority="1733">
      <formula>AND(R19="E▲",S19="D7")</formula>
    </cfRule>
    <cfRule type="expression" dxfId="1676" priority="1734">
      <formula>AND(R19="E▲",S19="D6")</formula>
    </cfRule>
    <cfRule type="expression" dxfId="1675" priority="1735">
      <formula>AND(R19="E▲",S19="I3")</formula>
    </cfRule>
    <cfRule type="expression" dxfId="1674" priority="1736">
      <formula>AND(R19="E▲",S19="A3")</formula>
    </cfRule>
  </conditionalFormatting>
  <conditionalFormatting sqref="V19">
    <cfRule type="expression" dxfId="1673" priority="1613">
      <formula>AND(U19="W7",V19="P5")</formula>
    </cfRule>
    <cfRule type="expression" dxfId="1672" priority="1614">
      <formula>AND(U19="E6",V19="P5")</formula>
    </cfRule>
    <cfRule type="expression" dxfId="1671" priority="1615">
      <formula>AND(U19="E△",V19="P5")</formula>
    </cfRule>
    <cfRule type="expression" dxfId="1670" priority="1616">
      <formula>AND(U19="E▲",V19="P5")</formula>
    </cfRule>
    <cfRule type="expression" dxfId="1669" priority="1617">
      <formula>AND(U19="E▲",V19="D1☆")</formula>
    </cfRule>
    <cfRule type="expression" dxfId="1668" priority="1618">
      <formula>AND(U19="E△",V19="D1☆")</formula>
    </cfRule>
    <cfRule type="expression" dxfId="1667" priority="1619">
      <formula>AND(U19="E",V19="D1☆")</formula>
    </cfRule>
    <cfRule type="expression" dxfId="1666" priority="1620">
      <formula>AND(U19="W6",V19="D1☆")</formula>
    </cfRule>
    <cfRule type="expression" dxfId="1665" priority="1621">
      <formula>AND(U19="W6",V19="D")</formula>
    </cfRule>
    <cfRule type="expression" dxfId="1664" priority="1622">
      <formula>AND(U19="W6",V19="Dx")</formula>
    </cfRule>
    <cfRule type="expression" dxfId="1663" priority="1623">
      <formula>AND(U19="W6",V19="D△")</formula>
    </cfRule>
    <cfRule type="expression" dxfId="1662" priority="1624">
      <formula>AND(U19="W6",V19="D▲")</formula>
    </cfRule>
    <cfRule type="expression" dxfId="1661" priority="1625">
      <formula>AND(U19="W6",V19="CO☆")</formula>
    </cfRule>
    <cfRule type="expression" dxfId="1660" priority="1626">
      <formula>AND(U19="W6",V19="H7")</formula>
    </cfRule>
    <cfRule type="expression" dxfId="1659" priority="1627">
      <formula>AND(U19="W6",V19="M7")</formula>
    </cfRule>
    <cfRule type="expression" dxfId="1658" priority="1628">
      <formula>AND(U19="W6",V19="T台")</formula>
    </cfRule>
    <cfRule type="expression" dxfId="1657" priority="1629">
      <formula>AND(U19="W6",V19="M台")</formula>
    </cfRule>
    <cfRule type="expression" dxfId="1656" priority="1630">
      <formula>AND(U19="W6",V19="D1台")</formula>
    </cfRule>
    <cfRule type="expression" dxfId="1655" priority="1631">
      <formula>AND(U19="W6",V19="Y6")</formula>
    </cfRule>
    <cfRule type="expression" dxfId="1654" priority="1632">
      <formula>AND(U19="W6",V19="Co辦")</formula>
    </cfRule>
    <cfRule type="expression" dxfId="1653" priority="1633">
      <formula>AND(U19="E",V19="Co辦")</formula>
    </cfRule>
    <cfRule type="expression" dxfId="1652" priority="1634">
      <formula>AND(U19="E",V19="Y6")</formula>
    </cfRule>
    <cfRule type="expression" dxfId="1651" priority="1635">
      <formula>AND(U19="E",V19="D1台")</formula>
    </cfRule>
    <cfRule type="expression" dxfId="1650" priority="1636">
      <formula>AND(U19="E",V19="M台")</formula>
    </cfRule>
    <cfRule type="expression" dxfId="1649" priority="1637">
      <formula>AND(U19="E",V19="T台")</formula>
    </cfRule>
    <cfRule type="expression" dxfId="1648" priority="1638">
      <formula>AND(U19="E",V19="M7")</formula>
    </cfRule>
    <cfRule type="expression" dxfId="1647" priority="1639">
      <formula>AND(U19="E",V19="H7")</formula>
    </cfRule>
    <cfRule type="expression" dxfId="1646" priority="1640">
      <formula>AND(U19="E",V19="CO☆")</formula>
    </cfRule>
    <cfRule type="expression" dxfId="1645" priority="1641">
      <formula>AND(U19="E",V19="D▲")</formula>
    </cfRule>
    <cfRule type="expression" dxfId="1644" priority="1642">
      <formula>AND(U19="E",V19="D△")</formula>
    </cfRule>
    <cfRule type="expression" dxfId="1643" priority="1643">
      <formula>AND(U19="E",V19="Dx")</formula>
    </cfRule>
    <cfRule type="expression" dxfId="1642" priority="1644">
      <formula>AND(U19="E",V19="D")</formula>
    </cfRule>
    <cfRule type="expression" dxfId="1641" priority="1645">
      <formula>AND(U19="E",V19="I3")</formula>
    </cfRule>
    <cfRule type="expression" dxfId="1640" priority="1646">
      <formula>AND(U19="E",V19="A")</formula>
    </cfRule>
    <cfRule type="expression" dxfId="1639" priority="1647">
      <formula>AND(U19="E△",V19="Co辦")</formula>
    </cfRule>
    <cfRule type="expression" dxfId="1638" priority="1648">
      <formula>AND(U19="E△",V19="Y6")</formula>
    </cfRule>
    <cfRule type="expression" dxfId="1637" priority="1649">
      <formula>AND(U19="E△",V19="D1台")</formula>
    </cfRule>
    <cfRule type="expression" dxfId="1636" priority="1650">
      <formula>AND(U19="E△",V19="M台")</formula>
    </cfRule>
    <cfRule type="expression" dxfId="1635" priority="1651">
      <formula>AND(U19="E△",V19="T台")</formula>
    </cfRule>
    <cfRule type="expression" dxfId="1634" priority="1652">
      <formula>AND(U19="E△",V19="M7")</formula>
    </cfRule>
    <cfRule type="expression" dxfId="1633" priority="1653">
      <formula>AND(U19="E△",V19="H7")</formula>
    </cfRule>
    <cfRule type="expression" dxfId="1632" priority="1654">
      <formula>AND(U19="E△",V19="CO☆")</formula>
    </cfRule>
    <cfRule type="expression" dxfId="1631" priority="1655">
      <formula>AND(U19="E△",V19="D▲")</formula>
    </cfRule>
    <cfRule type="expression" dxfId="1630" priority="1656">
      <formula>AND(U19="E△",V19="D△")</formula>
    </cfRule>
    <cfRule type="expression" dxfId="1629" priority="1657">
      <formula>AND(U19="E△",V19="Dx")</formula>
    </cfRule>
    <cfRule type="expression" dxfId="1628" priority="1658">
      <formula>AND(U19="E△",V19="I3")</formula>
    </cfRule>
    <cfRule type="expression" dxfId="1627" priority="1659">
      <formula>AND(U19="E△",V19="A")</formula>
    </cfRule>
    <cfRule type="expression" dxfId="1626" priority="1660">
      <formula>AND(U19="E△",V19="D")</formula>
    </cfRule>
    <cfRule type="expression" dxfId="1625" priority="1661">
      <formula>AND(U19="E▲",V19="D1台")</formula>
    </cfRule>
    <cfRule type="expression" dxfId="1624" priority="1662">
      <formula>AND(U19="E▲",V19="Co辦")</formula>
    </cfRule>
    <cfRule type="expression" dxfId="1623" priority="1663">
      <formula>AND(U19="E▲",V19="Y6")</formula>
    </cfRule>
    <cfRule type="expression" dxfId="1622" priority="1664">
      <formula>AND(U19="E▲",V19="M台")</formula>
    </cfRule>
    <cfRule type="expression" dxfId="1621" priority="1665">
      <formula>AND(U19="E▲",V19="T台")</formula>
    </cfRule>
    <cfRule type="expression" dxfId="1620" priority="1666">
      <formula>AND(U19="E▲",V19="M7")</formula>
    </cfRule>
    <cfRule type="expression" dxfId="1619" priority="1667">
      <formula>AND(U19="E▲",V19="H7")</formula>
    </cfRule>
    <cfRule type="expression" dxfId="1618" priority="1668">
      <formula>AND(U19="E▲",V19="CO☆")</formula>
    </cfRule>
    <cfRule type="expression" dxfId="1617" priority="1669">
      <formula>AND(U19="E▲",V19="D▲")</formula>
    </cfRule>
    <cfRule type="expression" dxfId="1616" priority="1670">
      <formula>AND(U19="E▲",V19="D△")</formula>
    </cfRule>
    <cfRule type="expression" dxfId="1615" priority="1671">
      <formula>AND(U19="E▲",V19="Dx")</formula>
    </cfRule>
    <cfRule type="expression" dxfId="1614" priority="1672">
      <formula>AND(U19="E▲",V19="D")</formula>
    </cfRule>
    <cfRule type="expression" dxfId="1613" priority="1673">
      <formula>AND(U19="E▲",V19="I3")</formula>
    </cfRule>
    <cfRule type="expression" dxfId="1612" priority="1674">
      <formula>AND(U19="E▲",V19="A")</formula>
    </cfRule>
  </conditionalFormatting>
  <conditionalFormatting sqref="V19">
    <cfRule type="expression" dxfId="1611" priority="1551">
      <formula>AND(U19="W7",V19="P5")</formula>
    </cfRule>
    <cfRule type="expression" dxfId="1610" priority="1552">
      <formula>AND(U19="E6",V19="P5")</formula>
    </cfRule>
    <cfRule type="expression" dxfId="1609" priority="1553">
      <formula>AND(U19="E△",V19="P5")</formula>
    </cfRule>
    <cfRule type="expression" dxfId="1608" priority="1554">
      <formula>AND(U19="E▲",V19="P5")</formula>
    </cfRule>
    <cfRule type="expression" dxfId="1607" priority="1555">
      <formula>AND(U19="E▲",V19="D1☆")</formula>
    </cfRule>
    <cfRule type="expression" dxfId="1606" priority="1556">
      <formula>AND(U19="E△",V19="D1☆")</formula>
    </cfRule>
    <cfRule type="expression" dxfId="1605" priority="1557">
      <formula>AND(U19="E6",V19="D1☆")</formula>
    </cfRule>
    <cfRule type="expression" dxfId="1604" priority="1558">
      <formula>AND(U19="W7",V19="D1☆")</formula>
    </cfRule>
    <cfRule type="expression" dxfId="1603" priority="1559">
      <formula>AND(U19="W7",V19="D6")</formula>
    </cfRule>
    <cfRule type="expression" dxfId="1602" priority="1560">
      <formula>AND(U19="W7",V19="D7")</formula>
    </cfRule>
    <cfRule type="expression" dxfId="1601" priority="1561">
      <formula>AND(U19="W7",V19="D△")</formula>
    </cfRule>
    <cfRule type="expression" dxfId="1600" priority="1562">
      <formula>AND(U19="W7",V19="D▲")</formula>
    </cfRule>
    <cfRule type="expression" dxfId="1599" priority="1563">
      <formula>AND(U19="W7",V19="CO☆")</formula>
    </cfRule>
    <cfRule type="expression" dxfId="1598" priority="1564">
      <formula>AND(U19="W7",V19="H5")</formula>
    </cfRule>
    <cfRule type="expression" dxfId="1597" priority="1565">
      <formula>AND(U19="W7",V19="M5")</formula>
    </cfRule>
    <cfRule type="expression" dxfId="1596" priority="1566">
      <formula>AND(U19="W7",V19="T台")</formula>
    </cfRule>
    <cfRule type="expression" dxfId="1595" priority="1567">
      <formula>AND(U19="W7",V19="M台")</formula>
    </cfRule>
    <cfRule type="expression" dxfId="1594" priority="1568">
      <formula>AND(U19="W7",V19="D1台")</formula>
    </cfRule>
    <cfRule type="expression" dxfId="1593" priority="1569">
      <formula>AND(U19="W7",V19="Y7")</formula>
    </cfRule>
    <cfRule type="expression" dxfId="1592" priority="1570">
      <formula>AND(U19="W7",V19="Co辦")</formula>
    </cfRule>
    <cfRule type="expression" dxfId="1591" priority="1571">
      <formula>AND(U19="E6",V19="Co辦")</formula>
    </cfRule>
    <cfRule type="expression" dxfId="1590" priority="1572">
      <formula>AND(U19="E6",V19="Y7")</formula>
    </cfRule>
    <cfRule type="expression" dxfId="1589" priority="1573">
      <formula>AND(U19="E6",V19="D1台")</formula>
    </cfRule>
    <cfRule type="expression" dxfId="1588" priority="1574">
      <formula>AND(U19="E6",V19="M台")</formula>
    </cfRule>
    <cfRule type="expression" dxfId="1587" priority="1575">
      <formula>AND(U19="E6",V19="T台")</formula>
    </cfRule>
    <cfRule type="expression" dxfId="1586" priority="1576">
      <formula>AND(U19="E6",V19="M5")</formula>
    </cfRule>
    <cfRule type="expression" dxfId="1585" priority="1577">
      <formula>AND(U19="E6",V19="H5")</formula>
    </cfRule>
    <cfRule type="expression" dxfId="1584" priority="1578">
      <formula>AND(U19="E6",V19="CO☆")</formula>
    </cfRule>
    <cfRule type="expression" dxfId="1583" priority="1579">
      <formula>AND(U19="E6",V19="D▲")</formula>
    </cfRule>
    <cfRule type="expression" dxfId="1582" priority="1580">
      <formula>AND(U19="E6",V19="D△")</formula>
    </cfRule>
    <cfRule type="expression" dxfId="1581" priority="1581">
      <formula>AND(U19="E6",V19="D7")</formula>
    </cfRule>
    <cfRule type="expression" dxfId="1580" priority="1582">
      <formula>AND(U19="E6",V19="D6")</formula>
    </cfRule>
    <cfRule type="expression" dxfId="1579" priority="1583">
      <formula>AND(U19="E6",V19="I3")</formula>
    </cfRule>
    <cfRule type="expression" dxfId="1578" priority="1584">
      <formula>AND(U19="E6",V19="A3")</formula>
    </cfRule>
    <cfRule type="expression" dxfId="1577" priority="1585">
      <formula>AND(U19="E△",V19="Co辦")</formula>
    </cfRule>
    <cfRule type="expression" dxfId="1576" priority="1586">
      <formula>AND(U19="E△",V19="Y7")</formula>
    </cfRule>
    <cfRule type="expression" dxfId="1575" priority="1587">
      <formula>AND(U19="E△",V19="D1台")</formula>
    </cfRule>
    <cfRule type="expression" dxfId="1574" priority="1588">
      <formula>AND(U19="E△",V19="M台")</formula>
    </cfRule>
    <cfRule type="expression" dxfId="1573" priority="1589">
      <formula>AND(U19="E△",V19="T台")</formula>
    </cfRule>
    <cfRule type="expression" dxfId="1572" priority="1590">
      <formula>AND(U19="E△",V19="M5")</formula>
    </cfRule>
    <cfRule type="expression" dxfId="1571" priority="1591">
      <formula>AND(U19="E△",V19="H5")</formula>
    </cfRule>
    <cfRule type="expression" dxfId="1570" priority="1592">
      <formula>AND(U19="E△",V19="CO☆")</formula>
    </cfRule>
    <cfRule type="expression" dxfId="1569" priority="1593">
      <formula>AND(U19="E△",V19="D▲")</formula>
    </cfRule>
    <cfRule type="expression" dxfId="1568" priority="1594">
      <formula>AND(U19="E△",V19="D△")</formula>
    </cfRule>
    <cfRule type="expression" dxfId="1567" priority="1595">
      <formula>AND(U19="E△",V19="D7")</formula>
    </cfRule>
    <cfRule type="expression" dxfId="1566" priority="1596">
      <formula>AND(U19="E△",V19="D6")</formula>
    </cfRule>
    <cfRule type="expression" dxfId="1565" priority="1597">
      <formula>AND(U19="E△",V19="I3")</formula>
    </cfRule>
    <cfRule type="expression" dxfId="1564" priority="1598">
      <formula>AND(U19="E△",V19="A3")</formula>
    </cfRule>
    <cfRule type="expression" dxfId="1563" priority="1599">
      <formula>AND(U19="E▲",V19="Co辦")</formula>
    </cfRule>
    <cfRule type="expression" dxfId="1562" priority="1600">
      <formula>AND(U19="E▲",V19="Y7")</formula>
    </cfRule>
    <cfRule type="expression" dxfId="1561" priority="1601">
      <formula>AND(U19="E▲",V19="D1台")</formula>
    </cfRule>
    <cfRule type="expression" dxfId="1560" priority="1602">
      <formula>AND(U19="E▲",V19="M台")</formula>
    </cfRule>
    <cfRule type="expression" dxfId="1559" priority="1603">
      <formula>AND(U19="E▲",V19="T台")</formula>
    </cfRule>
    <cfRule type="expression" dxfId="1558" priority="1604">
      <formula>AND(U19="E▲",V19="M5")</formula>
    </cfRule>
    <cfRule type="expression" dxfId="1557" priority="1605">
      <formula>AND(U19="E▲",V19="H7")</formula>
    </cfRule>
    <cfRule type="expression" dxfId="1556" priority="1606">
      <formula>AND(U19="E▲",V19="CO☆")</formula>
    </cfRule>
    <cfRule type="expression" dxfId="1555" priority="1607">
      <formula>AND(U19="E▲",V19="D▲")</formula>
    </cfRule>
    <cfRule type="expression" dxfId="1554" priority="1608">
      <formula>AND(U19="E▲",V19="D△")</formula>
    </cfRule>
    <cfRule type="expression" dxfId="1553" priority="1609">
      <formula>AND(U19="E▲",V19="D7")</formula>
    </cfRule>
    <cfRule type="expression" dxfId="1552" priority="1610">
      <formula>AND(U19="E▲",V19="D6")</formula>
    </cfRule>
    <cfRule type="expression" dxfId="1551" priority="1611">
      <formula>AND(U19="E▲",V19="I3")</formula>
    </cfRule>
    <cfRule type="expression" dxfId="1550" priority="1612">
      <formula>AND(U19="E▲",V19="A3")</formula>
    </cfRule>
  </conditionalFormatting>
  <conditionalFormatting sqref="W21">
    <cfRule type="expression" dxfId="1549" priority="1489">
      <formula>AND(V21="W7",W21="P5")</formula>
    </cfRule>
    <cfRule type="expression" dxfId="1548" priority="1490">
      <formula>AND(V21="E6",W21="P5")</formula>
    </cfRule>
    <cfRule type="expression" dxfId="1547" priority="1491">
      <formula>AND(V21="E△",W21="P5")</formula>
    </cfRule>
    <cfRule type="expression" dxfId="1546" priority="1492">
      <formula>AND(V21="E▲",W21="P5")</formula>
    </cfRule>
    <cfRule type="expression" dxfId="1545" priority="1493">
      <formula>AND(V21="E▲",W21="D1☆")</formula>
    </cfRule>
    <cfRule type="expression" dxfId="1544" priority="1494">
      <formula>AND(V21="E△",W21="D1☆")</formula>
    </cfRule>
    <cfRule type="expression" dxfId="1543" priority="1495">
      <formula>AND(V21="E",W21="D1☆")</formula>
    </cfRule>
    <cfRule type="expression" dxfId="1542" priority="1496">
      <formula>AND(V21="W6",W21="D1☆")</formula>
    </cfRule>
    <cfRule type="expression" dxfId="1541" priority="1497">
      <formula>AND(V21="W6",W21="D")</formula>
    </cfRule>
    <cfRule type="expression" dxfId="1540" priority="1498">
      <formula>AND(V21="W6",W21="Dx")</formula>
    </cfRule>
    <cfRule type="expression" dxfId="1539" priority="1499">
      <formula>AND(V21="W6",W21="D△")</formula>
    </cfRule>
    <cfRule type="expression" dxfId="1538" priority="1500">
      <formula>AND(V21="W6",W21="D▲")</formula>
    </cfRule>
    <cfRule type="expression" dxfId="1537" priority="1501">
      <formula>AND(V21="W6",W21="CO☆")</formula>
    </cfRule>
    <cfRule type="expression" dxfId="1536" priority="1502">
      <formula>AND(V21="W6",W21="H7")</formula>
    </cfRule>
    <cfRule type="expression" dxfId="1535" priority="1503">
      <formula>AND(V21="W6",W21="M7")</formula>
    </cfRule>
    <cfRule type="expression" dxfId="1534" priority="1504">
      <formula>AND(V21="W6",W21="T台")</formula>
    </cfRule>
    <cfRule type="expression" dxfId="1533" priority="1505">
      <formula>AND(V21="W6",W21="M台")</formula>
    </cfRule>
    <cfRule type="expression" dxfId="1532" priority="1506">
      <formula>AND(V21="W6",W21="D1台")</formula>
    </cfRule>
    <cfRule type="expression" dxfId="1531" priority="1507">
      <formula>AND(V21="W6",W21="Y6")</formula>
    </cfRule>
    <cfRule type="expression" dxfId="1530" priority="1508">
      <formula>AND(V21="W6",W21="Co辦")</formula>
    </cfRule>
    <cfRule type="expression" dxfId="1529" priority="1509">
      <formula>AND(V21="E",W21="Co辦")</formula>
    </cfRule>
    <cfRule type="expression" dxfId="1528" priority="1510">
      <formula>AND(V21="E",W21="Y6")</formula>
    </cfRule>
    <cfRule type="expression" dxfId="1527" priority="1511">
      <formula>AND(V21="E",W21="D1台")</formula>
    </cfRule>
    <cfRule type="expression" dxfId="1526" priority="1512">
      <formula>AND(V21="E",W21="M台")</formula>
    </cfRule>
    <cfRule type="expression" dxfId="1525" priority="1513">
      <formula>AND(V21="E",W21="T台")</formula>
    </cfRule>
    <cfRule type="expression" dxfId="1524" priority="1514">
      <formula>AND(V21="E",W21="M7")</formula>
    </cfRule>
    <cfRule type="expression" dxfId="1523" priority="1515">
      <formula>AND(V21="E",W21="H7")</formula>
    </cfRule>
    <cfRule type="expression" dxfId="1522" priority="1516">
      <formula>AND(V21="E",W21="CO☆")</formula>
    </cfRule>
    <cfRule type="expression" dxfId="1521" priority="1517">
      <formula>AND(V21="E",W21="D▲")</formula>
    </cfRule>
    <cfRule type="expression" dxfId="1520" priority="1518">
      <formula>AND(V21="E",W21="D△")</formula>
    </cfRule>
    <cfRule type="expression" dxfId="1519" priority="1519">
      <formula>AND(V21="E",W21="Dx")</formula>
    </cfRule>
    <cfRule type="expression" dxfId="1518" priority="1520">
      <formula>AND(V21="E",W21="D")</formula>
    </cfRule>
    <cfRule type="expression" dxfId="1517" priority="1521">
      <formula>AND(V21="E",W21="I3")</formula>
    </cfRule>
    <cfRule type="expression" dxfId="1516" priority="1522">
      <formula>AND(V21="E",W21="A")</formula>
    </cfRule>
    <cfRule type="expression" dxfId="1515" priority="1523">
      <formula>AND(V21="E△",W21="Co辦")</formula>
    </cfRule>
    <cfRule type="expression" dxfId="1514" priority="1524">
      <formula>AND(V21="E△",W21="Y6")</formula>
    </cfRule>
    <cfRule type="expression" dxfId="1513" priority="1525">
      <formula>AND(V21="E△",W21="D1台")</formula>
    </cfRule>
    <cfRule type="expression" dxfId="1512" priority="1526">
      <formula>AND(V21="E△",W21="M台")</formula>
    </cfRule>
    <cfRule type="expression" dxfId="1511" priority="1527">
      <formula>AND(V21="E△",W21="T台")</formula>
    </cfRule>
    <cfRule type="expression" dxfId="1510" priority="1528">
      <formula>AND(V21="E△",W21="M7")</formula>
    </cfRule>
    <cfRule type="expression" dxfId="1509" priority="1529">
      <formula>AND(V21="E△",W21="H7")</formula>
    </cfRule>
    <cfRule type="expression" dxfId="1508" priority="1530">
      <formula>AND(V21="E△",W21="CO☆")</formula>
    </cfRule>
    <cfRule type="expression" dxfId="1507" priority="1531">
      <formula>AND(V21="E△",W21="D▲")</formula>
    </cfRule>
    <cfRule type="expression" dxfId="1506" priority="1532">
      <formula>AND(V21="E△",W21="D△")</formula>
    </cfRule>
    <cfRule type="expression" dxfId="1505" priority="1533">
      <formula>AND(V21="E△",W21="Dx")</formula>
    </cfRule>
    <cfRule type="expression" dxfId="1504" priority="1534">
      <formula>AND(V21="E△",W21="I3")</formula>
    </cfRule>
    <cfRule type="expression" dxfId="1503" priority="1535">
      <formula>AND(V21="E△",W21="A")</formula>
    </cfRule>
    <cfRule type="expression" dxfId="1502" priority="1536">
      <formula>AND(V21="E△",W21="D")</formula>
    </cfRule>
    <cfRule type="expression" dxfId="1501" priority="1537">
      <formula>AND(V21="E▲",W21="D1台")</formula>
    </cfRule>
    <cfRule type="expression" dxfId="1500" priority="1538">
      <formula>AND(V21="E▲",W21="Co辦")</formula>
    </cfRule>
    <cfRule type="expression" dxfId="1499" priority="1539">
      <formula>AND(V21="E▲",W21="Y6")</formula>
    </cfRule>
    <cfRule type="expression" dxfId="1498" priority="1540">
      <formula>AND(V21="E▲",W21="M台")</formula>
    </cfRule>
    <cfRule type="expression" dxfId="1497" priority="1541">
      <formula>AND(V21="E▲",W21="T台")</formula>
    </cfRule>
    <cfRule type="expression" dxfId="1496" priority="1542">
      <formula>AND(V21="E▲",W21="M7")</formula>
    </cfRule>
    <cfRule type="expression" dxfId="1495" priority="1543">
      <formula>AND(V21="E▲",W21="H7")</formula>
    </cfRule>
    <cfRule type="expression" dxfId="1494" priority="1544">
      <formula>AND(V21="E▲",W21="CO☆")</formula>
    </cfRule>
    <cfRule type="expression" dxfId="1493" priority="1545">
      <formula>AND(V21="E▲",W21="D▲")</formula>
    </cfRule>
    <cfRule type="expression" dxfId="1492" priority="1546">
      <formula>AND(V21="E▲",W21="D△")</formula>
    </cfRule>
    <cfRule type="expression" dxfId="1491" priority="1547">
      <formula>AND(V21="E▲",W21="Dx")</formula>
    </cfRule>
    <cfRule type="expression" dxfId="1490" priority="1548">
      <formula>AND(V21="E▲",W21="D")</formula>
    </cfRule>
    <cfRule type="expression" dxfId="1489" priority="1549">
      <formula>AND(V21="E▲",W21="I3")</formula>
    </cfRule>
    <cfRule type="expression" dxfId="1488" priority="1550">
      <formula>AND(V21="E▲",W21="A")</formula>
    </cfRule>
  </conditionalFormatting>
  <conditionalFormatting sqref="W21">
    <cfRule type="expression" dxfId="1487" priority="1427">
      <formula>AND(V21="W7",W21="P5")</formula>
    </cfRule>
    <cfRule type="expression" dxfId="1486" priority="1428">
      <formula>AND(V21="E6",W21="P5")</formula>
    </cfRule>
    <cfRule type="expression" dxfId="1485" priority="1429">
      <formula>AND(V21="E△",W21="P5")</formula>
    </cfRule>
    <cfRule type="expression" dxfId="1484" priority="1430">
      <formula>AND(V21="E▲",W21="P5")</formula>
    </cfRule>
    <cfRule type="expression" dxfId="1483" priority="1431">
      <formula>AND(V21="E▲",W21="D1☆")</formula>
    </cfRule>
    <cfRule type="expression" dxfId="1482" priority="1432">
      <formula>AND(V21="E△",W21="D1☆")</formula>
    </cfRule>
    <cfRule type="expression" dxfId="1481" priority="1433">
      <formula>AND(V21="E6",W21="D1☆")</formula>
    </cfRule>
    <cfRule type="expression" dxfId="1480" priority="1434">
      <formula>AND(V21="W7",W21="D1☆")</formula>
    </cfRule>
    <cfRule type="expression" dxfId="1479" priority="1435">
      <formula>AND(V21="W7",W21="D6")</formula>
    </cfRule>
    <cfRule type="expression" dxfId="1478" priority="1436">
      <formula>AND(V21="W7",W21="D7")</formula>
    </cfRule>
    <cfRule type="expression" dxfId="1477" priority="1437">
      <formula>AND(V21="W7",W21="D△")</formula>
    </cfRule>
    <cfRule type="expression" dxfId="1476" priority="1438">
      <formula>AND(V21="W7",W21="D▲")</formula>
    </cfRule>
    <cfRule type="expression" dxfId="1475" priority="1439">
      <formula>AND(V21="W7",W21="CO☆")</formula>
    </cfRule>
    <cfRule type="expression" dxfId="1474" priority="1440">
      <formula>AND(V21="W7",W21="H5")</formula>
    </cfRule>
    <cfRule type="expression" dxfId="1473" priority="1441">
      <formula>AND(V21="W7",W21="M5")</formula>
    </cfRule>
    <cfRule type="expression" dxfId="1472" priority="1442">
      <formula>AND(V21="W7",W21="T台")</formula>
    </cfRule>
    <cfRule type="expression" dxfId="1471" priority="1443">
      <formula>AND(V21="W7",W21="M台")</formula>
    </cfRule>
    <cfRule type="expression" dxfId="1470" priority="1444">
      <formula>AND(V21="W7",W21="D1台")</formula>
    </cfRule>
    <cfRule type="expression" dxfId="1469" priority="1445">
      <formula>AND(V21="W7",W21="Y7")</formula>
    </cfRule>
    <cfRule type="expression" dxfId="1468" priority="1446">
      <formula>AND(V21="W7",W21="Co辦")</formula>
    </cfRule>
    <cfRule type="expression" dxfId="1467" priority="1447">
      <formula>AND(V21="E6",W21="Co辦")</formula>
    </cfRule>
    <cfRule type="expression" dxfId="1466" priority="1448">
      <formula>AND(V21="E6",W21="Y7")</formula>
    </cfRule>
    <cfRule type="expression" dxfId="1465" priority="1449">
      <formula>AND(V21="E6",W21="D1台")</formula>
    </cfRule>
    <cfRule type="expression" dxfId="1464" priority="1450">
      <formula>AND(V21="E6",W21="M台")</formula>
    </cfRule>
    <cfRule type="expression" dxfId="1463" priority="1451">
      <formula>AND(V21="E6",W21="T台")</formula>
    </cfRule>
    <cfRule type="expression" dxfId="1462" priority="1452">
      <formula>AND(V21="E6",W21="M5")</formula>
    </cfRule>
    <cfRule type="expression" dxfId="1461" priority="1453">
      <formula>AND(V21="E6",W21="H5")</formula>
    </cfRule>
    <cfRule type="expression" dxfId="1460" priority="1454">
      <formula>AND(V21="E6",W21="CO☆")</formula>
    </cfRule>
    <cfRule type="expression" dxfId="1459" priority="1455">
      <formula>AND(V21="E6",W21="D▲")</formula>
    </cfRule>
    <cfRule type="expression" dxfId="1458" priority="1456">
      <formula>AND(V21="E6",W21="D△")</formula>
    </cfRule>
    <cfRule type="expression" dxfId="1457" priority="1457">
      <formula>AND(V21="E6",W21="D7")</formula>
    </cfRule>
    <cfRule type="expression" dxfId="1456" priority="1458">
      <formula>AND(V21="E6",W21="D6")</formula>
    </cfRule>
    <cfRule type="expression" dxfId="1455" priority="1459">
      <formula>AND(V21="E6",W21="I3")</formula>
    </cfRule>
    <cfRule type="expression" dxfId="1454" priority="1460">
      <formula>AND(V21="E6",W21="A3")</formula>
    </cfRule>
    <cfRule type="expression" dxfId="1453" priority="1461">
      <formula>AND(V21="E△",W21="Co辦")</formula>
    </cfRule>
    <cfRule type="expression" dxfId="1452" priority="1462">
      <formula>AND(V21="E△",W21="Y7")</formula>
    </cfRule>
    <cfRule type="expression" dxfId="1451" priority="1463">
      <formula>AND(V21="E△",W21="D1台")</formula>
    </cfRule>
    <cfRule type="expression" dxfId="1450" priority="1464">
      <formula>AND(V21="E△",W21="M台")</formula>
    </cfRule>
    <cfRule type="expression" dxfId="1449" priority="1465">
      <formula>AND(V21="E△",W21="T台")</formula>
    </cfRule>
    <cfRule type="expression" dxfId="1448" priority="1466">
      <formula>AND(V21="E△",W21="M5")</formula>
    </cfRule>
    <cfRule type="expression" dxfId="1447" priority="1467">
      <formula>AND(V21="E△",W21="H5")</formula>
    </cfRule>
    <cfRule type="expression" dxfId="1446" priority="1468">
      <formula>AND(V21="E△",W21="CO☆")</formula>
    </cfRule>
    <cfRule type="expression" dxfId="1445" priority="1469">
      <formula>AND(V21="E△",W21="D▲")</formula>
    </cfRule>
    <cfRule type="expression" dxfId="1444" priority="1470">
      <formula>AND(V21="E△",W21="D△")</formula>
    </cfRule>
    <cfRule type="expression" dxfId="1443" priority="1471">
      <formula>AND(V21="E△",W21="D7")</formula>
    </cfRule>
    <cfRule type="expression" dxfId="1442" priority="1472">
      <formula>AND(V21="E△",W21="D6")</formula>
    </cfRule>
    <cfRule type="expression" dxfId="1441" priority="1473">
      <formula>AND(V21="E△",W21="I3")</formula>
    </cfRule>
    <cfRule type="expression" dxfId="1440" priority="1474">
      <formula>AND(V21="E△",W21="A3")</formula>
    </cfRule>
    <cfRule type="expression" dxfId="1439" priority="1475">
      <formula>AND(V21="E▲",W21="Co辦")</formula>
    </cfRule>
    <cfRule type="expression" dxfId="1438" priority="1476">
      <formula>AND(V21="E▲",W21="Y7")</formula>
    </cfRule>
    <cfRule type="expression" dxfId="1437" priority="1477">
      <formula>AND(V21="E▲",W21="D1台")</formula>
    </cfRule>
    <cfRule type="expression" dxfId="1436" priority="1478">
      <formula>AND(V21="E▲",W21="M台")</formula>
    </cfRule>
    <cfRule type="expression" dxfId="1435" priority="1479">
      <formula>AND(V21="E▲",W21="T台")</formula>
    </cfRule>
    <cfRule type="expression" dxfId="1434" priority="1480">
      <formula>AND(V21="E▲",W21="M5")</formula>
    </cfRule>
    <cfRule type="expression" dxfId="1433" priority="1481">
      <formula>AND(V21="E▲",W21="H7")</formula>
    </cfRule>
    <cfRule type="expression" dxfId="1432" priority="1482">
      <formula>AND(V21="E▲",W21="CO☆")</formula>
    </cfRule>
    <cfRule type="expression" dxfId="1431" priority="1483">
      <formula>AND(V21="E▲",W21="D▲")</formula>
    </cfRule>
    <cfRule type="expression" dxfId="1430" priority="1484">
      <formula>AND(V21="E▲",W21="D△")</formula>
    </cfRule>
    <cfRule type="expression" dxfId="1429" priority="1485">
      <formula>AND(V21="E▲",W21="D7")</formula>
    </cfRule>
    <cfRule type="expression" dxfId="1428" priority="1486">
      <formula>AND(V21="E▲",W21="D6")</formula>
    </cfRule>
    <cfRule type="expression" dxfId="1427" priority="1487">
      <formula>AND(V21="E▲",W21="I3")</formula>
    </cfRule>
    <cfRule type="expression" dxfId="1426" priority="1488">
      <formula>AND(V21="E▲",W21="A3")</formula>
    </cfRule>
  </conditionalFormatting>
  <conditionalFormatting sqref="U12">
    <cfRule type="expression" dxfId="1425" priority="1365">
      <formula>AND(T12="W7",U12="P5")</formula>
    </cfRule>
    <cfRule type="expression" dxfId="1424" priority="1366">
      <formula>AND(T12="E6",U12="P5")</formula>
    </cfRule>
    <cfRule type="expression" dxfId="1423" priority="1367">
      <formula>AND(T12="E△",U12="P5")</formula>
    </cfRule>
    <cfRule type="expression" dxfId="1422" priority="1368">
      <formula>AND(T12="E▲",U12="P5")</formula>
    </cfRule>
    <cfRule type="expression" dxfId="1421" priority="1369">
      <formula>AND(T12="E▲",U12="D1☆")</formula>
    </cfRule>
    <cfRule type="expression" dxfId="1420" priority="1370">
      <formula>AND(T12="E△",U12="D1☆")</formula>
    </cfRule>
    <cfRule type="expression" dxfId="1419" priority="1371">
      <formula>AND(T12="E",U12="D1☆")</formula>
    </cfRule>
    <cfRule type="expression" dxfId="1418" priority="1372">
      <formula>AND(T12="W6",U12="D1☆")</formula>
    </cfRule>
    <cfRule type="expression" dxfId="1417" priority="1373">
      <formula>AND(T12="W6",U12="D")</formula>
    </cfRule>
    <cfRule type="expression" dxfId="1416" priority="1374">
      <formula>AND(T12="W6",U12="Dx")</formula>
    </cfRule>
    <cfRule type="expression" dxfId="1415" priority="1375">
      <formula>AND(T12="W6",U12="D△")</formula>
    </cfRule>
    <cfRule type="expression" dxfId="1414" priority="1376">
      <formula>AND(T12="W6",U12="D▲")</formula>
    </cfRule>
    <cfRule type="expression" dxfId="1413" priority="1377">
      <formula>AND(T12="W6",U12="CO☆")</formula>
    </cfRule>
    <cfRule type="expression" dxfId="1412" priority="1378">
      <formula>AND(T12="W6",U12="H7")</formula>
    </cfRule>
    <cfRule type="expression" dxfId="1411" priority="1379">
      <formula>AND(T12="W6",U12="M7")</formula>
    </cfRule>
    <cfRule type="expression" dxfId="1410" priority="1380">
      <formula>AND(T12="W6",U12="T台")</formula>
    </cfRule>
    <cfRule type="expression" dxfId="1409" priority="1381">
      <formula>AND(T12="W6",U12="M台")</formula>
    </cfRule>
    <cfRule type="expression" dxfId="1408" priority="1382">
      <formula>AND(T12="W6",U12="D1台")</formula>
    </cfRule>
    <cfRule type="expression" dxfId="1407" priority="1383">
      <formula>AND(T12="W6",U12="Y6")</formula>
    </cfRule>
    <cfRule type="expression" dxfId="1406" priority="1384">
      <formula>AND(T12="W6",U12="Co辦")</formula>
    </cfRule>
    <cfRule type="expression" dxfId="1405" priority="1385">
      <formula>AND(T12="E",U12="Co辦")</formula>
    </cfRule>
    <cfRule type="expression" dxfId="1404" priority="1386">
      <formula>AND(T12="E",U12="Y6")</formula>
    </cfRule>
    <cfRule type="expression" dxfId="1403" priority="1387">
      <formula>AND(T12="E",U12="D1台")</formula>
    </cfRule>
    <cfRule type="expression" dxfId="1402" priority="1388">
      <formula>AND(T12="E",U12="M台")</formula>
    </cfRule>
    <cfRule type="expression" dxfId="1401" priority="1389">
      <formula>AND(T12="E",U12="T台")</formula>
    </cfRule>
    <cfRule type="expression" dxfId="1400" priority="1390">
      <formula>AND(T12="E",U12="M7")</formula>
    </cfRule>
    <cfRule type="expression" dxfId="1399" priority="1391">
      <formula>AND(T12="E",U12="H7")</formula>
    </cfRule>
    <cfRule type="expression" dxfId="1398" priority="1392">
      <formula>AND(T12="E",U12="CO☆")</formula>
    </cfRule>
    <cfRule type="expression" dxfId="1397" priority="1393">
      <formula>AND(T12="E",U12="D▲")</formula>
    </cfRule>
    <cfRule type="expression" dxfId="1396" priority="1394">
      <formula>AND(T12="E",U12="D△")</formula>
    </cfRule>
    <cfRule type="expression" dxfId="1395" priority="1395">
      <formula>AND(T12="E",U12="Dx")</formula>
    </cfRule>
    <cfRule type="expression" dxfId="1394" priority="1396">
      <formula>AND(T12="E",U12="D")</formula>
    </cfRule>
    <cfRule type="expression" dxfId="1393" priority="1397">
      <formula>AND(T12="E",U12="I3")</formula>
    </cfRule>
    <cfRule type="expression" dxfId="1392" priority="1398">
      <formula>AND(T12="E",U12="A")</formula>
    </cfRule>
    <cfRule type="expression" dxfId="1391" priority="1399">
      <formula>AND(T12="E△",U12="Co辦")</formula>
    </cfRule>
    <cfRule type="expression" dxfId="1390" priority="1400">
      <formula>AND(T12="E△",U12="Y6")</formula>
    </cfRule>
    <cfRule type="expression" dxfId="1389" priority="1401">
      <formula>AND(T12="E△",U12="D1台")</formula>
    </cfRule>
    <cfRule type="expression" dxfId="1388" priority="1402">
      <formula>AND(T12="E△",U12="M台")</formula>
    </cfRule>
    <cfRule type="expression" dxfId="1387" priority="1403">
      <formula>AND(T12="E△",U12="T台")</formula>
    </cfRule>
    <cfRule type="expression" dxfId="1386" priority="1404">
      <formula>AND(T12="E△",U12="M7")</formula>
    </cfRule>
    <cfRule type="expression" dxfId="1385" priority="1405">
      <formula>AND(T12="E△",U12="H7")</formula>
    </cfRule>
    <cfRule type="expression" dxfId="1384" priority="1406">
      <formula>AND(T12="E△",U12="CO☆")</formula>
    </cfRule>
    <cfRule type="expression" dxfId="1383" priority="1407">
      <formula>AND(T12="E△",U12="D▲")</formula>
    </cfRule>
    <cfRule type="expression" dxfId="1382" priority="1408">
      <formula>AND(T12="E△",U12="D△")</formula>
    </cfRule>
    <cfRule type="expression" dxfId="1381" priority="1409">
      <formula>AND(T12="E△",U12="Dx")</formula>
    </cfRule>
    <cfRule type="expression" dxfId="1380" priority="1410">
      <formula>AND(T12="E△",U12="I3")</formula>
    </cfRule>
    <cfRule type="expression" dxfId="1379" priority="1411">
      <formula>AND(T12="E△",U12="A")</formula>
    </cfRule>
    <cfRule type="expression" dxfId="1378" priority="1412">
      <formula>AND(T12="E△",U12="D")</formula>
    </cfRule>
    <cfRule type="expression" dxfId="1377" priority="1413">
      <formula>AND(T12="E▲",U12="D1台")</formula>
    </cfRule>
    <cfRule type="expression" dxfId="1376" priority="1414">
      <formula>AND(T12="E▲",U12="Co辦")</formula>
    </cfRule>
    <cfRule type="expression" dxfId="1375" priority="1415">
      <formula>AND(T12="E▲",U12="Y6")</formula>
    </cfRule>
    <cfRule type="expression" dxfId="1374" priority="1416">
      <formula>AND(T12="E▲",U12="M台")</formula>
    </cfRule>
    <cfRule type="expression" dxfId="1373" priority="1417">
      <formula>AND(T12="E▲",U12="T台")</formula>
    </cfRule>
    <cfRule type="expression" dxfId="1372" priority="1418">
      <formula>AND(T12="E▲",U12="M7")</formula>
    </cfRule>
    <cfRule type="expression" dxfId="1371" priority="1419">
      <formula>AND(T12="E▲",U12="H7")</formula>
    </cfRule>
    <cfRule type="expression" dxfId="1370" priority="1420">
      <formula>AND(T12="E▲",U12="CO☆")</formula>
    </cfRule>
    <cfRule type="expression" dxfId="1369" priority="1421">
      <formula>AND(T12="E▲",U12="D▲")</formula>
    </cfRule>
    <cfRule type="expression" dxfId="1368" priority="1422">
      <formula>AND(T12="E▲",U12="D△")</formula>
    </cfRule>
    <cfRule type="expression" dxfId="1367" priority="1423">
      <formula>AND(T12="E▲",U12="Dx")</formula>
    </cfRule>
    <cfRule type="expression" dxfId="1366" priority="1424">
      <formula>AND(T12="E▲",U12="D")</formula>
    </cfRule>
    <cfRule type="expression" dxfId="1365" priority="1425">
      <formula>AND(T12="E▲",U12="I3")</formula>
    </cfRule>
    <cfRule type="expression" dxfId="1364" priority="1426">
      <formula>AND(T12="E▲",U12="A")</formula>
    </cfRule>
  </conditionalFormatting>
  <conditionalFormatting sqref="U12">
    <cfRule type="expression" dxfId="1363" priority="1303">
      <formula>AND(T12="W7",U12="P5")</formula>
    </cfRule>
    <cfRule type="expression" dxfId="1362" priority="1304">
      <formula>AND(T12="E6",U12="P5")</formula>
    </cfRule>
    <cfRule type="expression" dxfId="1361" priority="1305">
      <formula>AND(T12="E△",U12="P5")</formula>
    </cfRule>
    <cfRule type="expression" dxfId="1360" priority="1306">
      <formula>AND(T12="E▲",U12="P5")</formula>
    </cfRule>
    <cfRule type="expression" dxfId="1359" priority="1307">
      <formula>AND(T12="E▲",U12="D1☆")</formula>
    </cfRule>
    <cfRule type="expression" dxfId="1358" priority="1308">
      <formula>AND(T12="E△",U12="D1☆")</formula>
    </cfRule>
    <cfRule type="expression" dxfId="1357" priority="1309">
      <formula>AND(T12="E6",U12="D1☆")</formula>
    </cfRule>
    <cfRule type="expression" dxfId="1356" priority="1310">
      <formula>AND(T12="W7",U12="D1☆")</formula>
    </cfRule>
    <cfRule type="expression" dxfId="1355" priority="1311">
      <formula>AND(T12="W7",U12="D6")</formula>
    </cfRule>
    <cfRule type="expression" dxfId="1354" priority="1312">
      <formula>AND(T12="W7",U12="D7")</formula>
    </cfRule>
    <cfRule type="expression" dxfId="1353" priority="1313">
      <formula>AND(T12="W7",U12="D△")</formula>
    </cfRule>
    <cfRule type="expression" dxfId="1352" priority="1314">
      <formula>AND(T12="W7",U12="D▲")</formula>
    </cfRule>
    <cfRule type="expression" dxfId="1351" priority="1315">
      <formula>AND(T12="W7",U12="CO☆")</formula>
    </cfRule>
    <cfRule type="expression" dxfId="1350" priority="1316">
      <formula>AND(T12="W7",U12="H5")</formula>
    </cfRule>
    <cfRule type="expression" dxfId="1349" priority="1317">
      <formula>AND(T12="W7",U12="M5")</formula>
    </cfRule>
    <cfRule type="expression" dxfId="1348" priority="1318">
      <formula>AND(T12="W7",U12="T台")</formula>
    </cfRule>
    <cfRule type="expression" dxfId="1347" priority="1319">
      <formula>AND(T12="W7",U12="M台")</formula>
    </cfRule>
    <cfRule type="expression" dxfId="1346" priority="1320">
      <formula>AND(T12="W7",U12="D1台")</formula>
    </cfRule>
    <cfRule type="expression" dxfId="1345" priority="1321">
      <formula>AND(T12="W7",U12="Y7")</formula>
    </cfRule>
    <cfRule type="expression" dxfId="1344" priority="1322">
      <formula>AND(T12="W7",U12="Co辦")</formula>
    </cfRule>
    <cfRule type="expression" dxfId="1343" priority="1323">
      <formula>AND(T12="E6",U12="Co辦")</formula>
    </cfRule>
    <cfRule type="expression" dxfId="1342" priority="1324">
      <formula>AND(T12="E6",U12="Y7")</formula>
    </cfRule>
    <cfRule type="expression" dxfId="1341" priority="1325">
      <formula>AND(T12="E6",U12="D1台")</formula>
    </cfRule>
    <cfRule type="expression" dxfId="1340" priority="1326">
      <formula>AND(T12="E6",U12="M台")</formula>
    </cfRule>
    <cfRule type="expression" dxfId="1339" priority="1327">
      <formula>AND(T12="E6",U12="T台")</formula>
    </cfRule>
    <cfRule type="expression" dxfId="1338" priority="1328">
      <formula>AND(T12="E6",U12="M5")</formula>
    </cfRule>
    <cfRule type="expression" dxfId="1337" priority="1329">
      <formula>AND(T12="E6",U12="H5")</formula>
    </cfRule>
    <cfRule type="expression" dxfId="1336" priority="1330">
      <formula>AND(T12="E6",U12="CO☆")</formula>
    </cfRule>
    <cfRule type="expression" dxfId="1335" priority="1331">
      <formula>AND(T12="E6",U12="D▲")</formula>
    </cfRule>
    <cfRule type="expression" dxfId="1334" priority="1332">
      <formula>AND(T12="E6",U12="D△")</formula>
    </cfRule>
    <cfRule type="expression" dxfId="1333" priority="1333">
      <formula>AND(T12="E6",U12="D7")</formula>
    </cfRule>
    <cfRule type="expression" dxfId="1332" priority="1334">
      <formula>AND(T12="E6",U12="D6")</formula>
    </cfRule>
    <cfRule type="expression" dxfId="1331" priority="1335">
      <formula>AND(T12="E6",U12="I3")</formula>
    </cfRule>
    <cfRule type="expression" dxfId="1330" priority="1336">
      <formula>AND(T12="E6",U12="A3")</formula>
    </cfRule>
    <cfRule type="expression" dxfId="1329" priority="1337">
      <formula>AND(T12="E△",U12="Co辦")</formula>
    </cfRule>
    <cfRule type="expression" dxfId="1328" priority="1338">
      <formula>AND(T12="E△",U12="Y7")</formula>
    </cfRule>
    <cfRule type="expression" dxfId="1327" priority="1339">
      <formula>AND(T12="E△",U12="D1台")</formula>
    </cfRule>
    <cfRule type="expression" dxfId="1326" priority="1340">
      <formula>AND(T12="E△",U12="M台")</formula>
    </cfRule>
    <cfRule type="expression" dxfId="1325" priority="1341">
      <formula>AND(T12="E△",U12="T台")</formula>
    </cfRule>
    <cfRule type="expression" dxfId="1324" priority="1342">
      <formula>AND(T12="E△",U12="M5")</formula>
    </cfRule>
    <cfRule type="expression" dxfId="1323" priority="1343">
      <formula>AND(T12="E△",U12="H5")</formula>
    </cfRule>
    <cfRule type="expression" dxfId="1322" priority="1344">
      <formula>AND(T12="E△",U12="CO☆")</formula>
    </cfRule>
    <cfRule type="expression" dxfId="1321" priority="1345">
      <formula>AND(T12="E△",U12="D▲")</formula>
    </cfRule>
    <cfRule type="expression" dxfId="1320" priority="1346">
      <formula>AND(T12="E△",U12="D△")</formula>
    </cfRule>
    <cfRule type="expression" dxfId="1319" priority="1347">
      <formula>AND(T12="E△",U12="D7")</formula>
    </cfRule>
    <cfRule type="expression" dxfId="1318" priority="1348">
      <formula>AND(T12="E△",U12="D6")</formula>
    </cfRule>
    <cfRule type="expression" dxfId="1317" priority="1349">
      <formula>AND(T12="E△",U12="I3")</formula>
    </cfRule>
    <cfRule type="expression" dxfId="1316" priority="1350">
      <formula>AND(T12="E△",U12="A3")</formula>
    </cfRule>
    <cfRule type="expression" dxfId="1315" priority="1351">
      <formula>AND(T12="E▲",U12="Co辦")</formula>
    </cfRule>
    <cfRule type="expression" dxfId="1314" priority="1352">
      <formula>AND(T12="E▲",U12="Y7")</formula>
    </cfRule>
    <cfRule type="expression" dxfId="1313" priority="1353">
      <formula>AND(T12="E▲",U12="D1台")</formula>
    </cfRule>
    <cfRule type="expression" dxfId="1312" priority="1354">
      <formula>AND(T12="E▲",U12="M台")</formula>
    </cfRule>
    <cfRule type="expression" dxfId="1311" priority="1355">
      <formula>AND(T12="E▲",U12="T台")</formula>
    </cfRule>
    <cfRule type="expression" dxfId="1310" priority="1356">
      <formula>AND(T12="E▲",U12="M5")</formula>
    </cfRule>
    <cfRule type="expression" dxfId="1309" priority="1357">
      <formula>AND(T12="E▲",U12="H7")</formula>
    </cfRule>
    <cfRule type="expression" dxfId="1308" priority="1358">
      <formula>AND(T12="E▲",U12="CO☆")</formula>
    </cfRule>
    <cfRule type="expression" dxfId="1307" priority="1359">
      <formula>AND(T12="E▲",U12="D▲")</formula>
    </cfRule>
    <cfRule type="expression" dxfId="1306" priority="1360">
      <formula>AND(T12="E▲",U12="D△")</formula>
    </cfRule>
    <cfRule type="expression" dxfId="1305" priority="1361">
      <formula>AND(T12="E▲",U12="D7")</formula>
    </cfRule>
    <cfRule type="expression" dxfId="1304" priority="1362">
      <formula>AND(T12="E▲",U12="D6")</formula>
    </cfRule>
    <cfRule type="expression" dxfId="1303" priority="1363">
      <formula>AND(T12="E▲",U12="I3")</formula>
    </cfRule>
    <cfRule type="expression" dxfId="1302" priority="1364">
      <formula>AND(T12="E▲",U12="A3")</formula>
    </cfRule>
  </conditionalFormatting>
  <conditionalFormatting sqref="U13">
    <cfRule type="expression" dxfId="1301" priority="1241">
      <formula>AND(T13="W7",U13="P5")</formula>
    </cfRule>
    <cfRule type="expression" dxfId="1300" priority="1242">
      <formula>AND(T13="E6",U13="P5")</formula>
    </cfRule>
    <cfRule type="expression" dxfId="1299" priority="1243">
      <formula>AND(T13="E△",U13="P5")</formula>
    </cfRule>
    <cfRule type="expression" dxfId="1298" priority="1244">
      <formula>AND(T13="E▲",U13="P5")</formula>
    </cfRule>
    <cfRule type="expression" dxfId="1297" priority="1245">
      <formula>AND(T13="E▲",U13="D1☆")</formula>
    </cfRule>
    <cfRule type="expression" dxfId="1296" priority="1246">
      <formula>AND(T13="E△",U13="D1☆")</formula>
    </cfRule>
    <cfRule type="expression" dxfId="1295" priority="1247">
      <formula>AND(T13="E",U13="D1☆")</formula>
    </cfRule>
    <cfRule type="expression" dxfId="1294" priority="1248">
      <formula>AND(T13="W6",U13="D1☆")</formula>
    </cfRule>
    <cfRule type="expression" dxfId="1293" priority="1249">
      <formula>AND(T13="W6",U13="D")</formula>
    </cfRule>
    <cfRule type="expression" dxfId="1292" priority="1250">
      <formula>AND(T13="W6",U13="Dx")</formula>
    </cfRule>
    <cfRule type="expression" dxfId="1291" priority="1251">
      <formula>AND(T13="W6",U13="D△")</formula>
    </cfRule>
    <cfRule type="expression" dxfId="1290" priority="1252">
      <formula>AND(T13="W6",U13="D▲")</formula>
    </cfRule>
    <cfRule type="expression" dxfId="1289" priority="1253">
      <formula>AND(T13="W6",U13="CO☆")</formula>
    </cfRule>
    <cfRule type="expression" dxfId="1288" priority="1254">
      <formula>AND(T13="W6",U13="H7")</formula>
    </cfRule>
    <cfRule type="expression" dxfId="1287" priority="1255">
      <formula>AND(T13="W6",U13="M7")</formula>
    </cfRule>
    <cfRule type="expression" dxfId="1286" priority="1256">
      <formula>AND(T13="W6",U13="T台")</formula>
    </cfRule>
    <cfRule type="expression" dxfId="1285" priority="1257">
      <formula>AND(T13="W6",U13="M台")</formula>
    </cfRule>
    <cfRule type="expression" dxfId="1284" priority="1258">
      <formula>AND(T13="W6",U13="D1台")</formula>
    </cfRule>
    <cfRule type="expression" dxfId="1283" priority="1259">
      <formula>AND(T13="W6",U13="Y6")</formula>
    </cfRule>
    <cfRule type="expression" dxfId="1282" priority="1260">
      <formula>AND(T13="W6",U13="Co辦")</formula>
    </cfRule>
    <cfRule type="expression" dxfId="1281" priority="1261">
      <formula>AND(T13="E",U13="Co辦")</formula>
    </cfRule>
    <cfRule type="expression" dxfId="1280" priority="1262">
      <formula>AND(T13="E",U13="Y6")</formula>
    </cfRule>
    <cfRule type="expression" dxfId="1279" priority="1263">
      <formula>AND(T13="E",U13="D1台")</formula>
    </cfRule>
    <cfRule type="expression" dxfId="1278" priority="1264">
      <formula>AND(T13="E",U13="M台")</formula>
    </cfRule>
    <cfRule type="expression" dxfId="1277" priority="1265">
      <formula>AND(T13="E",U13="T台")</formula>
    </cfRule>
    <cfRule type="expression" dxfId="1276" priority="1266">
      <formula>AND(T13="E",U13="M7")</formula>
    </cfRule>
    <cfRule type="expression" dxfId="1275" priority="1267">
      <formula>AND(T13="E",U13="H7")</formula>
    </cfRule>
    <cfRule type="expression" dxfId="1274" priority="1268">
      <formula>AND(T13="E",U13="CO☆")</formula>
    </cfRule>
    <cfRule type="expression" dxfId="1273" priority="1269">
      <formula>AND(T13="E",U13="D▲")</formula>
    </cfRule>
    <cfRule type="expression" dxfId="1272" priority="1270">
      <formula>AND(T13="E",U13="D△")</formula>
    </cfRule>
    <cfRule type="expression" dxfId="1271" priority="1271">
      <formula>AND(T13="E",U13="Dx")</formula>
    </cfRule>
    <cfRule type="expression" dxfId="1270" priority="1272">
      <formula>AND(T13="E",U13="D")</formula>
    </cfRule>
    <cfRule type="expression" dxfId="1269" priority="1273">
      <formula>AND(T13="E",U13="I3")</formula>
    </cfRule>
    <cfRule type="expression" dxfId="1268" priority="1274">
      <formula>AND(T13="E",U13="A")</formula>
    </cfRule>
    <cfRule type="expression" dxfId="1267" priority="1275">
      <formula>AND(T13="E△",U13="Co辦")</formula>
    </cfRule>
    <cfRule type="expression" dxfId="1266" priority="1276">
      <formula>AND(T13="E△",U13="Y6")</formula>
    </cfRule>
    <cfRule type="expression" dxfId="1265" priority="1277">
      <formula>AND(T13="E△",U13="D1台")</formula>
    </cfRule>
    <cfRule type="expression" dxfId="1264" priority="1278">
      <formula>AND(T13="E△",U13="M台")</formula>
    </cfRule>
    <cfRule type="expression" dxfId="1263" priority="1279">
      <formula>AND(T13="E△",U13="T台")</formula>
    </cfRule>
    <cfRule type="expression" dxfId="1262" priority="1280">
      <formula>AND(T13="E△",U13="M7")</formula>
    </cfRule>
    <cfRule type="expression" dxfId="1261" priority="1281">
      <formula>AND(T13="E△",U13="H7")</formula>
    </cfRule>
    <cfRule type="expression" dxfId="1260" priority="1282">
      <formula>AND(T13="E△",U13="CO☆")</formula>
    </cfRule>
    <cfRule type="expression" dxfId="1259" priority="1283">
      <formula>AND(T13="E△",U13="D▲")</formula>
    </cfRule>
    <cfRule type="expression" dxfId="1258" priority="1284">
      <formula>AND(T13="E△",U13="D△")</formula>
    </cfRule>
    <cfRule type="expression" dxfId="1257" priority="1285">
      <formula>AND(T13="E△",U13="Dx")</formula>
    </cfRule>
    <cfRule type="expression" dxfId="1256" priority="1286">
      <formula>AND(T13="E△",U13="I3")</formula>
    </cfRule>
    <cfRule type="expression" dxfId="1255" priority="1287">
      <formula>AND(T13="E△",U13="A")</formula>
    </cfRule>
    <cfRule type="expression" dxfId="1254" priority="1288">
      <formula>AND(T13="E△",U13="D")</formula>
    </cfRule>
    <cfRule type="expression" dxfId="1253" priority="1289">
      <formula>AND(T13="E▲",U13="D1台")</formula>
    </cfRule>
    <cfRule type="expression" dxfId="1252" priority="1290">
      <formula>AND(T13="E▲",U13="Co辦")</formula>
    </cfRule>
    <cfRule type="expression" dxfId="1251" priority="1291">
      <formula>AND(T13="E▲",U13="Y6")</formula>
    </cfRule>
    <cfRule type="expression" dxfId="1250" priority="1292">
      <formula>AND(T13="E▲",U13="M台")</formula>
    </cfRule>
    <cfRule type="expression" dxfId="1249" priority="1293">
      <formula>AND(T13="E▲",U13="T台")</formula>
    </cfRule>
    <cfRule type="expression" dxfId="1248" priority="1294">
      <formula>AND(T13="E▲",U13="M7")</formula>
    </cfRule>
    <cfRule type="expression" dxfId="1247" priority="1295">
      <formula>AND(T13="E▲",U13="H7")</formula>
    </cfRule>
    <cfRule type="expression" dxfId="1246" priority="1296">
      <formula>AND(T13="E▲",U13="CO☆")</formula>
    </cfRule>
    <cfRule type="expression" dxfId="1245" priority="1297">
      <formula>AND(T13="E▲",U13="D▲")</formula>
    </cfRule>
    <cfRule type="expression" dxfId="1244" priority="1298">
      <formula>AND(T13="E▲",U13="D△")</formula>
    </cfRule>
    <cfRule type="expression" dxfId="1243" priority="1299">
      <formula>AND(T13="E▲",U13="Dx")</formula>
    </cfRule>
    <cfRule type="expression" dxfId="1242" priority="1300">
      <formula>AND(T13="E▲",U13="D")</formula>
    </cfRule>
    <cfRule type="expression" dxfId="1241" priority="1301">
      <formula>AND(T13="E▲",U13="I3")</formula>
    </cfRule>
    <cfRule type="expression" dxfId="1240" priority="1302">
      <formula>AND(T13="E▲",U13="A")</formula>
    </cfRule>
  </conditionalFormatting>
  <conditionalFormatting sqref="U13">
    <cfRule type="expression" dxfId="1239" priority="1179">
      <formula>AND(T13="W7",U13="P5")</formula>
    </cfRule>
    <cfRule type="expression" dxfId="1238" priority="1180">
      <formula>AND(T13="E6",U13="P5")</formula>
    </cfRule>
    <cfRule type="expression" dxfId="1237" priority="1181">
      <formula>AND(T13="E△",U13="P5")</formula>
    </cfRule>
    <cfRule type="expression" dxfId="1236" priority="1182">
      <formula>AND(T13="E▲",U13="P5")</formula>
    </cfRule>
    <cfRule type="expression" dxfId="1235" priority="1183">
      <formula>AND(T13="E▲",U13="D1☆")</formula>
    </cfRule>
    <cfRule type="expression" dxfId="1234" priority="1184">
      <formula>AND(T13="E△",U13="D1☆")</formula>
    </cfRule>
    <cfRule type="expression" dxfId="1233" priority="1185">
      <formula>AND(T13="E6",U13="D1☆")</formula>
    </cfRule>
    <cfRule type="expression" dxfId="1232" priority="1186">
      <formula>AND(T13="W7",U13="D1☆")</formula>
    </cfRule>
    <cfRule type="expression" dxfId="1231" priority="1187">
      <formula>AND(T13="W7",U13="D6")</formula>
    </cfRule>
    <cfRule type="expression" dxfId="1230" priority="1188">
      <formula>AND(T13="W7",U13="D7")</formula>
    </cfRule>
    <cfRule type="expression" dxfId="1229" priority="1189">
      <formula>AND(T13="W7",U13="D△")</formula>
    </cfRule>
    <cfRule type="expression" dxfId="1228" priority="1190">
      <formula>AND(T13="W7",U13="D▲")</formula>
    </cfRule>
    <cfRule type="expression" dxfId="1227" priority="1191">
      <formula>AND(T13="W7",U13="CO☆")</formula>
    </cfRule>
    <cfRule type="expression" dxfId="1226" priority="1192">
      <formula>AND(T13="W7",U13="H5")</formula>
    </cfRule>
    <cfRule type="expression" dxfId="1225" priority="1193">
      <formula>AND(T13="W7",U13="M5")</formula>
    </cfRule>
    <cfRule type="expression" dxfId="1224" priority="1194">
      <formula>AND(T13="W7",U13="T台")</formula>
    </cfRule>
    <cfRule type="expression" dxfId="1223" priority="1195">
      <formula>AND(T13="W7",U13="M台")</formula>
    </cfRule>
    <cfRule type="expression" dxfId="1222" priority="1196">
      <formula>AND(T13="W7",U13="D1台")</formula>
    </cfRule>
    <cfRule type="expression" dxfId="1221" priority="1197">
      <formula>AND(T13="W7",U13="Y7")</formula>
    </cfRule>
    <cfRule type="expression" dxfId="1220" priority="1198">
      <formula>AND(T13="W7",U13="Co辦")</formula>
    </cfRule>
    <cfRule type="expression" dxfId="1219" priority="1199">
      <formula>AND(T13="E6",U13="Co辦")</formula>
    </cfRule>
    <cfRule type="expression" dxfId="1218" priority="1200">
      <formula>AND(T13="E6",U13="Y7")</formula>
    </cfRule>
    <cfRule type="expression" dxfId="1217" priority="1201">
      <formula>AND(T13="E6",U13="D1台")</formula>
    </cfRule>
    <cfRule type="expression" dxfId="1216" priority="1202">
      <formula>AND(T13="E6",U13="M台")</formula>
    </cfRule>
    <cfRule type="expression" dxfId="1215" priority="1203">
      <formula>AND(T13="E6",U13="T台")</formula>
    </cfRule>
    <cfRule type="expression" dxfId="1214" priority="1204">
      <formula>AND(T13="E6",U13="M5")</formula>
    </cfRule>
    <cfRule type="expression" dxfId="1213" priority="1205">
      <formula>AND(T13="E6",U13="H5")</formula>
    </cfRule>
    <cfRule type="expression" dxfId="1212" priority="1206">
      <formula>AND(T13="E6",U13="CO☆")</formula>
    </cfRule>
    <cfRule type="expression" dxfId="1211" priority="1207">
      <formula>AND(T13="E6",U13="D▲")</formula>
    </cfRule>
    <cfRule type="expression" dxfId="1210" priority="1208">
      <formula>AND(T13="E6",U13="D△")</formula>
    </cfRule>
    <cfRule type="expression" dxfId="1209" priority="1209">
      <formula>AND(T13="E6",U13="D7")</formula>
    </cfRule>
    <cfRule type="expression" dxfId="1208" priority="1210">
      <formula>AND(T13="E6",U13="D6")</formula>
    </cfRule>
    <cfRule type="expression" dxfId="1207" priority="1211">
      <formula>AND(T13="E6",U13="I3")</formula>
    </cfRule>
    <cfRule type="expression" dxfId="1206" priority="1212">
      <formula>AND(T13="E6",U13="A3")</formula>
    </cfRule>
    <cfRule type="expression" dxfId="1205" priority="1213">
      <formula>AND(T13="E△",U13="Co辦")</formula>
    </cfRule>
    <cfRule type="expression" dxfId="1204" priority="1214">
      <formula>AND(T13="E△",U13="Y7")</formula>
    </cfRule>
    <cfRule type="expression" dxfId="1203" priority="1215">
      <formula>AND(T13="E△",U13="D1台")</formula>
    </cfRule>
    <cfRule type="expression" dxfId="1202" priority="1216">
      <formula>AND(T13="E△",U13="M台")</formula>
    </cfRule>
    <cfRule type="expression" dxfId="1201" priority="1217">
      <formula>AND(T13="E△",U13="T台")</formula>
    </cfRule>
    <cfRule type="expression" dxfId="1200" priority="1218">
      <formula>AND(T13="E△",U13="M5")</formula>
    </cfRule>
    <cfRule type="expression" dxfId="1199" priority="1219">
      <formula>AND(T13="E△",U13="H5")</formula>
    </cfRule>
    <cfRule type="expression" dxfId="1198" priority="1220">
      <formula>AND(T13="E△",U13="CO☆")</formula>
    </cfRule>
    <cfRule type="expression" dxfId="1197" priority="1221">
      <formula>AND(T13="E△",U13="D▲")</formula>
    </cfRule>
    <cfRule type="expression" dxfId="1196" priority="1222">
      <formula>AND(T13="E△",U13="D△")</formula>
    </cfRule>
    <cfRule type="expression" dxfId="1195" priority="1223">
      <formula>AND(T13="E△",U13="D7")</formula>
    </cfRule>
    <cfRule type="expression" dxfId="1194" priority="1224">
      <formula>AND(T13="E△",U13="D6")</formula>
    </cfRule>
    <cfRule type="expression" dxfId="1193" priority="1225">
      <formula>AND(T13="E△",U13="I3")</formula>
    </cfRule>
    <cfRule type="expression" dxfId="1192" priority="1226">
      <formula>AND(T13="E△",U13="A3")</formula>
    </cfRule>
    <cfRule type="expression" dxfId="1191" priority="1227">
      <formula>AND(T13="E▲",U13="Co辦")</formula>
    </cfRule>
    <cfRule type="expression" dxfId="1190" priority="1228">
      <formula>AND(T13="E▲",U13="Y7")</formula>
    </cfRule>
    <cfRule type="expression" dxfId="1189" priority="1229">
      <formula>AND(T13="E▲",U13="D1台")</formula>
    </cfRule>
    <cfRule type="expression" dxfId="1188" priority="1230">
      <formula>AND(T13="E▲",U13="M台")</formula>
    </cfRule>
    <cfRule type="expression" dxfId="1187" priority="1231">
      <formula>AND(T13="E▲",U13="T台")</formula>
    </cfRule>
    <cfRule type="expression" dxfId="1186" priority="1232">
      <formula>AND(T13="E▲",U13="M5")</formula>
    </cfRule>
    <cfRule type="expression" dxfId="1185" priority="1233">
      <formula>AND(T13="E▲",U13="H7")</formula>
    </cfRule>
    <cfRule type="expression" dxfId="1184" priority="1234">
      <formula>AND(T13="E▲",U13="CO☆")</formula>
    </cfRule>
    <cfRule type="expression" dxfId="1183" priority="1235">
      <formula>AND(T13="E▲",U13="D▲")</formula>
    </cfRule>
    <cfRule type="expression" dxfId="1182" priority="1236">
      <formula>AND(T13="E▲",U13="D△")</formula>
    </cfRule>
    <cfRule type="expression" dxfId="1181" priority="1237">
      <formula>AND(T13="E▲",U13="D7")</formula>
    </cfRule>
    <cfRule type="expression" dxfId="1180" priority="1238">
      <formula>AND(T13="E▲",U13="D6")</formula>
    </cfRule>
    <cfRule type="expression" dxfId="1179" priority="1239">
      <formula>AND(T13="E▲",U13="I3")</formula>
    </cfRule>
    <cfRule type="expression" dxfId="1178" priority="1240">
      <formula>AND(T13="E▲",U13="A3")</formula>
    </cfRule>
  </conditionalFormatting>
  <conditionalFormatting sqref="V13">
    <cfRule type="expression" dxfId="1177" priority="1117">
      <formula>AND(U13="W7",V13="P5")</formula>
    </cfRule>
    <cfRule type="expression" dxfId="1176" priority="1118">
      <formula>AND(U13="E6",V13="P5")</formula>
    </cfRule>
    <cfRule type="expression" dxfId="1175" priority="1119">
      <formula>AND(U13="E△",V13="P5")</formula>
    </cfRule>
    <cfRule type="expression" dxfId="1174" priority="1120">
      <formula>AND(U13="E▲",V13="P5")</formula>
    </cfRule>
    <cfRule type="expression" dxfId="1173" priority="1121">
      <formula>AND(U13="E▲",V13="D1☆")</formula>
    </cfRule>
    <cfRule type="expression" dxfId="1172" priority="1122">
      <formula>AND(U13="E△",V13="D1☆")</formula>
    </cfRule>
    <cfRule type="expression" dxfId="1171" priority="1123">
      <formula>AND(U13="E",V13="D1☆")</formula>
    </cfRule>
    <cfRule type="expression" dxfId="1170" priority="1124">
      <formula>AND(U13="W6",V13="D1☆")</formula>
    </cfRule>
    <cfRule type="expression" dxfId="1169" priority="1125">
      <formula>AND(U13="W6",V13="D")</formula>
    </cfRule>
    <cfRule type="expression" dxfId="1168" priority="1126">
      <formula>AND(U13="W6",V13="Dx")</formula>
    </cfRule>
    <cfRule type="expression" dxfId="1167" priority="1127">
      <formula>AND(U13="W6",V13="D△")</formula>
    </cfRule>
    <cfRule type="expression" dxfId="1166" priority="1128">
      <formula>AND(U13="W6",V13="D▲")</formula>
    </cfRule>
    <cfRule type="expression" dxfId="1165" priority="1129">
      <formula>AND(U13="W6",V13="CO☆")</formula>
    </cfRule>
    <cfRule type="expression" dxfId="1164" priority="1130">
      <formula>AND(U13="W6",V13="H7")</formula>
    </cfRule>
    <cfRule type="expression" dxfId="1163" priority="1131">
      <formula>AND(U13="W6",V13="M7")</formula>
    </cfRule>
    <cfRule type="expression" dxfId="1162" priority="1132">
      <formula>AND(U13="W6",V13="T台")</formula>
    </cfRule>
    <cfRule type="expression" dxfId="1161" priority="1133">
      <formula>AND(U13="W6",V13="M台")</formula>
    </cfRule>
    <cfRule type="expression" dxfId="1160" priority="1134">
      <formula>AND(U13="W6",V13="D1台")</formula>
    </cfRule>
    <cfRule type="expression" dxfId="1159" priority="1135">
      <formula>AND(U13="W6",V13="Y6")</formula>
    </cfRule>
    <cfRule type="expression" dxfId="1158" priority="1136">
      <formula>AND(U13="W6",V13="Co辦")</formula>
    </cfRule>
    <cfRule type="expression" dxfId="1157" priority="1137">
      <formula>AND(U13="E",V13="Co辦")</formula>
    </cfRule>
    <cfRule type="expression" dxfId="1156" priority="1138">
      <formula>AND(U13="E",V13="Y6")</formula>
    </cfRule>
    <cfRule type="expression" dxfId="1155" priority="1139">
      <formula>AND(U13="E",V13="D1台")</formula>
    </cfRule>
    <cfRule type="expression" dxfId="1154" priority="1140">
      <formula>AND(U13="E",V13="M台")</formula>
    </cfRule>
    <cfRule type="expression" dxfId="1153" priority="1141">
      <formula>AND(U13="E",V13="T台")</formula>
    </cfRule>
    <cfRule type="expression" dxfId="1152" priority="1142">
      <formula>AND(U13="E",V13="M7")</formula>
    </cfRule>
    <cfRule type="expression" dxfId="1151" priority="1143">
      <formula>AND(U13="E",V13="H7")</formula>
    </cfRule>
    <cfRule type="expression" dxfId="1150" priority="1144">
      <formula>AND(U13="E",V13="CO☆")</formula>
    </cfRule>
    <cfRule type="expression" dxfId="1149" priority="1145">
      <formula>AND(U13="E",V13="D▲")</formula>
    </cfRule>
    <cfRule type="expression" dxfId="1148" priority="1146">
      <formula>AND(U13="E",V13="D△")</formula>
    </cfRule>
    <cfRule type="expression" dxfId="1147" priority="1147">
      <formula>AND(U13="E",V13="Dx")</formula>
    </cfRule>
    <cfRule type="expression" dxfId="1146" priority="1148">
      <formula>AND(U13="E",V13="D")</formula>
    </cfRule>
    <cfRule type="expression" dxfId="1145" priority="1149">
      <formula>AND(U13="E",V13="I3")</formula>
    </cfRule>
    <cfRule type="expression" dxfId="1144" priority="1150">
      <formula>AND(U13="E",V13="A")</formula>
    </cfRule>
    <cfRule type="expression" dxfId="1143" priority="1151">
      <formula>AND(U13="E△",V13="Co辦")</formula>
    </cfRule>
    <cfRule type="expression" dxfId="1142" priority="1152">
      <formula>AND(U13="E△",V13="Y6")</formula>
    </cfRule>
    <cfRule type="expression" dxfId="1141" priority="1153">
      <formula>AND(U13="E△",V13="D1台")</formula>
    </cfRule>
    <cfRule type="expression" dxfId="1140" priority="1154">
      <formula>AND(U13="E△",V13="M台")</formula>
    </cfRule>
    <cfRule type="expression" dxfId="1139" priority="1155">
      <formula>AND(U13="E△",V13="T台")</formula>
    </cfRule>
    <cfRule type="expression" dxfId="1138" priority="1156">
      <formula>AND(U13="E△",V13="M7")</formula>
    </cfRule>
    <cfRule type="expression" dxfId="1137" priority="1157">
      <formula>AND(U13="E△",V13="H7")</formula>
    </cfRule>
    <cfRule type="expression" dxfId="1136" priority="1158">
      <formula>AND(U13="E△",V13="CO☆")</formula>
    </cfRule>
    <cfRule type="expression" dxfId="1135" priority="1159">
      <formula>AND(U13="E△",V13="D▲")</formula>
    </cfRule>
    <cfRule type="expression" dxfId="1134" priority="1160">
      <formula>AND(U13="E△",V13="D△")</formula>
    </cfRule>
    <cfRule type="expression" dxfId="1133" priority="1161">
      <formula>AND(U13="E△",V13="Dx")</formula>
    </cfRule>
    <cfRule type="expression" dxfId="1132" priority="1162">
      <formula>AND(U13="E△",V13="I3")</formula>
    </cfRule>
    <cfRule type="expression" dxfId="1131" priority="1163">
      <formula>AND(U13="E△",V13="A")</formula>
    </cfRule>
    <cfRule type="expression" dxfId="1130" priority="1164">
      <formula>AND(U13="E△",V13="D")</formula>
    </cfRule>
    <cfRule type="expression" dxfId="1129" priority="1165">
      <formula>AND(U13="E▲",V13="D1台")</formula>
    </cfRule>
    <cfRule type="expression" dxfId="1128" priority="1166">
      <formula>AND(U13="E▲",V13="Co辦")</formula>
    </cfRule>
    <cfRule type="expression" dxfId="1127" priority="1167">
      <formula>AND(U13="E▲",V13="Y6")</formula>
    </cfRule>
    <cfRule type="expression" dxfId="1126" priority="1168">
      <formula>AND(U13="E▲",V13="M台")</formula>
    </cfRule>
    <cfRule type="expression" dxfId="1125" priority="1169">
      <formula>AND(U13="E▲",V13="T台")</formula>
    </cfRule>
    <cfRule type="expression" dxfId="1124" priority="1170">
      <formula>AND(U13="E▲",V13="M7")</formula>
    </cfRule>
    <cfRule type="expression" dxfId="1123" priority="1171">
      <formula>AND(U13="E▲",V13="H7")</formula>
    </cfRule>
    <cfRule type="expression" dxfId="1122" priority="1172">
      <formula>AND(U13="E▲",V13="CO☆")</formula>
    </cfRule>
    <cfRule type="expression" dxfId="1121" priority="1173">
      <formula>AND(U13="E▲",V13="D▲")</formula>
    </cfRule>
    <cfRule type="expression" dxfId="1120" priority="1174">
      <formula>AND(U13="E▲",V13="D△")</formula>
    </cfRule>
    <cfRule type="expression" dxfId="1119" priority="1175">
      <formula>AND(U13="E▲",V13="Dx")</formula>
    </cfRule>
    <cfRule type="expression" dxfId="1118" priority="1176">
      <formula>AND(U13="E▲",V13="D")</formula>
    </cfRule>
    <cfRule type="expression" dxfId="1117" priority="1177">
      <formula>AND(U13="E▲",V13="I3")</formula>
    </cfRule>
    <cfRule type="expression" dxfId="1116" priority="1178">
      <formula>AND(U13="E▲",V13="A")</formula>
    </cfRule>
  </conditionalFormatting>
  <conditionalFormatting sqref="V13">
    <cfRule type="expression" dxfId="1115" priority="1055">
      <formula>AND(U13="W7",V13="P5")</formula>
    </cfRule>
    <cfRule type="expression" dxfId="1114" priority="1056">
      <formula>AND(U13="E6",V13="P5")</formula>
    </cfRule>
    <cfRule type="expression" dxfId="1113" priority="1057">
      <formula>AND(U13="E△",V13="P5")</formula>
    </cfRule>
    <cfRule type="expression" dxfId="1112" priority="1058">
      <formula>AND(U13="E▲",V13="P5")</formula>
    </cfRule>
    <cfRule type="expression" dxfId="1111" priority="1059">
      <formula>AND(U13="E▲",V13="D1☆")</formula>
    </cfRule>
    <cfRule type="expression" dxfId="1110" priority="1060">
      <formula>AND(U13="E△",V13="D1☆")</formula>
    </cfRule>
    <cfRule type="expression" dxfId="1109" priority="1061">
      <formula>AND(U13="E6",V13="D1☆")</formula>
    </cfRule>
    <cfRule type="expression" dxfId="1108" priority="1062">
      <formula>AND(U13="W7",V13="D1☆")</formula>
    </cfRule>
    <cfRule type="expression" dxfId="1107" priority="1063">
      <formula>AND(U13="W7",V13="D6")</formula>
    </cfRule>
    <cfRule type="expression" dxfId="1106" priority="1064">
      <formula>AND(U13="W7",V13="D7")</formula>
    </cfRule>
    <cfRule type="expression" dxfId="1105" priority="1065">
      <formula>AND(U13="W7",V13="D△")</formula>
    </cfRule>
    <cfRule type="expression" dxfId="1104" priority="1066">
      <formula>AND(U13="W7",V13="D▲")</formula>
    </cfRule>
    <cfRule type="expression" dxfId="1103" priority="1067">
      <formula>AND(U13="W7",V13="CO☆")</formula>
    </cfRule>
    <cfRule type="expression" dxfId="1102" priority="1068">
      <formula>AND(U13="W7",V13="H5")</formula>
    </cfRule>
    <cfRule type="expression" dxfId="1101" priority="1069">
      <formula>AND(U13="W7",V13="M5")</formula>
    </cfRule>
    <cfRule type="expression" dxfId="1100" priority="1070">
      <formula>AND(U13="W7",V13="T台")</formula>
    </cfRule>
    <cfRule type="expression" dxfId="1099" priority="1071">
      <formula>AND(U13="W7",V13="M台")</formula>
    </cfRule>
    <cfRule type="expression" dxfId="1098" priority="1072">
      <formula>AND(U13="W7",V13="D1台")</formula>
    </cfRule>
    <cfRule type="expression" dxfId="1097" priority="1073">
      <formula>AND(U13="W7",V13="Y7")</formula>
    </cfRule>
    <cfRule type="expression" dxfId="1096" priority="1074">
      <formula>AND(U13="W7",V13="Co辦")</formula>
    </cfRule>
    <cfRule type="expression" dxfId="1095" priority="1075">
      <formula>AND(U13="E6",V13="Co辦")</formula>
    </cfRule>
    <cfRule type="expression" dxfId="1094" priority="1076">
      <formula>AND(U13="E6",V13="Y7")</formula>
    </cfRule>
    <cfRule type="expression" dxfId="1093" priority="1077">
      <formula>AND(U13="E6",V13="D1台")</formula>
    </cfRule>
    <cfRule type="expression" dxfId="1092" priority="1078">
      <formula>AND(U13="E6",V13="M台")</formula>
    </cfRule>
    <cfRule type="expression" dxfId="1091" priority="1079">
      <formula>AND(U13="E6",V13="T台")</formula>
    </cfRule>
    <cfRule type="expression" dxfId="1090" priority="1080">
      <formula>AND(U13="E6",V13="M5")</formula>
    </cfRule>
    <cfRule type="expression" dxfId="1089" priority="1081">
      <formula>AND(U13="E6",V13="H5")</formula>
    </cfRule>
    <cfRule type="expression" dxfId="1088" priority="1082">
      <formula>AND(U13="E6",V13="CO☆")</formula>
    </cfRule>
    <cfRule type="expression" dxfId="1087" priority="1083">
      <formula>AND(U13="E6",V13="D▲")</formula>
    </cfRule>
    <cfRule type="expression" dxfId="1086" priority="1084">
      <formula>AND(U13="E6",V13="D△")</formula>
    </cfRule>
    <cfRule type="expression" dxfId="1085" priority="1085">
      <formula>AND(U13="E6",V13="D7")</formula>
    </cfRule>
    <cfRule type="expression" dxfId="1084" priority="1086">
      <formula>AND(U13="E6",V13="D6")</formula>
    </cfRule>
    <cfRule type="expression" dxfId="1083" priority="1087">
      <formula>AND(U13="E6",V13="I3")</formula>
    </cfRule>
    <cfRule type="expression" dxfId="1082" priority="1088">
      <formula>AND(U13="E6",V13="A3")</formula>
    </cfRule>
    <cfRule type="expression" dxfId="1081" priority="1089">
      <formula>AND(U13="E△",V13="Co辦")</formula>
    </cfRule>
    <cfRule type="expression" dxfId="1080" priority="1090">
      <formula>AND(U13="E△",V13="Y7")</formula>
    </cfRule>
    <cfRule type="expression" dxfId="1079" priority="1091">
      <formula>AND(U13="E△",V13="D1台")</formula>
    </cfRule>
    <cfRule type="expression" dxfId="1078" priority="1092">
      <formula>AND(U13="E△",V13="M台")</formula>
    </cfRule>
    <cfRule type="expression" dxfId="1077" priority="1093">
      <formula>AND(U13="E△",V13="T台")</formula>
    </cfRule>
    <cfRule type="expression" dxfId="1076" priority="1094">
      <formula>AND(U13="E△",V13="M5")</formula>
    </cfRule>
    <cfRule type="expression" dxfId="1075" priority="1095">
      <formula>AND(U13="E△",V13="H5")</formula>
    </cfRule>
    <cfRule type="expression" dxfId="1074" priority="1096">
      <formula>AND(U13="E△",V13="CO☆")</formula>
    </cfRule>
    <cfRule type="expression" dxfId="1073" priority="1097">
      <formula>AND(U13="E△",V13="D▲")</formula>
    </cfRule>
    <cfRule type="expression" dxfId="1072" priority="1098">
      <formula>AND(U13="E△",V13="D△")</formula>
    </cfRule>
    <cfRule type="expression" dxfId="1071" priority="1099">
      <formula>AND(U13="E△",V13="D7")</formula>
    </cfRule>
    <cfRule type="expression" dxfId="1070" priority="1100">
      <formula>AND(U13="E△",V13="D6")</formula>
    </cfRule>
    <cfRule type="expression" dxfId="1069" priority="1101">
      <formula>AND(U13="E△",V13="I3")</formula>
    </cfRule>
    <cfRule type="expression" dxfId="1068" priority="1102">
      <formula>AND(U13="E△",V13="A3")</formula>
    </cfRule>
    <cfRule type="expression" dxfId="1067" priority="1103">
      <formula>AND(U13="E▲",V13="Co辦")</formula>
    </cfRule>
    <cfRule type="expression" dxfId="1066" priority="1104">
      <formula>AND(U13="E▲",V13="Y7")</formula>
    </cfRule>
    <cfRule type="expression" dxfId="1065" priority="1105">
      <formula>AND(U13="E▲",V13="D1台")</formula>
    </cfRule>
    <cfRule type="expression" dxfId="1064" priority="1106">
      <formula>AND(U13="E▲",V13="M台")</formula>
    </cfRule>
    <cfRule type="expression" dxfId="1063" priority="1107">
      <formula>AND(U13="E▲",V13="T台")</formula>
    </cfRule>
    <cfRule type="expression" dxfId="1062" priority="1108">
      <formula>AND(U13="E▲",V13="M5")</formula>
    </cfRule>
    <cfRule type="expression" dxfId="1061" priority="1109">
      <formula>AND(U13="E▲",V13="H7")</formula>
    </cfRule>
    <cfRule type="expression" dxfId="1060" priority="1110">
      <formula>AND(U13="E▲",V13="CO☆")</formula>
    </cfRule>
    <cfRule type="expression" dxfId="1059" priority="1111">
      <formula>AND(U13="E▲",V13="D▲")</formula>
    </cfRule>
    <cfRule type="expression" dxfId="1058" priority="1112">
      <formula>AND(U13="E▲",V13="D△")</formula>
    </cfRule>
    <cfRule type="expression" dxfId="1057" priority="1113">
      <formula>AND(U13="E▲",V13="D7")</formula>
    </cfRule>
    <cfRule type="expression" dxfId="1056" priority="1114">
      <formula>AND(U13="E▲",V13="D6")</formula>
    </cfRule>
    <cfRule type="expression" dxfId="1055" priority="1115">
      <formula>AND(U13="E▲",V13="I3")</formula>
    </cfRule>
    <cfRule type="expression" dxfId="1054" priority="1116">
      <formula>AND(U13="E▲",V13="A3")</formula>
    </cfRule>
  </conditionalFormatting>
  <conditionalFormatting sqref="Y12">
    <cfRule type="expression" dxfId="1053" priority="993">
      <formula>AND(X12="W7",Y12="P5")</formula>
    </cfRule>
    <cfRule type="expression" dxfId="1052" priority="994">
      <formula>AND(X12="E6",Y12="P5")</formula>
    </cfRule>
    <cfRule type="expression" dxfId="1051" priority="995">
      <formula>AND(X12="E△",Y12="P5")</formula>
    </cfRule>
    <cfRule type="expression" dxfId="1050" priority="996">
      <formula>AND(X12="E▲",Y12="P5")</formula>
    </cfRule>
    <cfRule type="expression" dxfId="1049" priority="997">
      <formula>AND(X12="E▲",Y12="D1☆")</formula>
    </cfRule>
    <cfRule type="expression" dxfId="1048" priority="998">
      <formula>AND(X12="E△",Y12="D1☆")</formula>
    </cfRule>
    <cfRule type="expression" dxfId="1047" priority="999">
      <formula>AND(X12="E",Y12="D1☆")</formula>
    </cfRule>
    <cfRule type="expression" dxfId="1046" priority="1000">
      <formula>AND(X12="W6",Y12="D1☆")</formula>
    </cfRule>
    <cfRule type="expression" dxfId="1045" priority="1001">
      <formula>AND(X12="W6",Y12="D")</formula>
    </cfRule>
    <cfRule type="expression" dxfId="1044" priority="1002">
      <formula>AND(X12="W6",Y12="Dx")</formula>
    </cfRule>
    <cfRule type="expression" dxfId="1043" priority="1003">
      <formula>AND(X12="W6",Y12="D△")</formula>
    </cfRule>
    <cfRule type="expression" dxfId="1042" priority="1004">
      <formula>AND(X12="W6",Y12="D▲")</formula>
    </cfRule>
    <cfRule type="expression" dxfId="1041" priority="1005">
      <formula>AND(X12="W6",Y12="CO☆")</formula>
    </cfRule>
    <cfRule type="expression" dxfId="1040" priority="1006">
      <formula>AND(X12="W6",Y12="H7")</formula>
    </cfRule>
    <cfRule type="expression" dxfId="1039" priority="1007">
      <formula>AND(X12="W6",Y12="M7")</formula>
    </cfRule>
    <cfRule type="expression" dxfId="1038" priority="1008">
      <formula>AND(X12="W6",Y12="T台")</formula>
    </cfRule>
    <cfRule type="expression" dxfId="1037" priority="1009">
      <formula>AND(X12="W6",Y12="M台")</formula>
    </cfRule>
    <cfRule type="expression" dxfId="1036" priority="1010">
      <formula>AND(X12="W6",Y12="D1台")</formula>
    </cfRule>
    <cfRule type="expression" dxfId="1035" priority="1011">
      <formula>AND(X12="W6",Y12="Y6")</formula>
    </cfRule>
    <cfRule type="expression" dxfId="1034" priority="1012">
      <formula>AND(X12="W6",Y12="Co辦")</formula>
    </cfRule>
    <cfRule type="expression" dxfId="1033" priority="1013">
      <formula>AND(X12="E",Y12="Co辦")</formula>
    </cfRule>
    <cfRule type="expression" dxfId="1032" priority="1014">
      <formula>AND(X12="E",Y12="Y6")</formula>
    </cfRule>
    <cfRule type="expression" dxfId="1031" priority="1015">
      <formula>AND(X12="E",Y12="D1台")</formula>
    </cfRule>
    <cfRule type="expression" dxfId="1030" priority="1016">
      <formula>AND(X12="E",Y12="M台")</formula>
    </cfRule>
    <cfRule type="expression" dxfId="1029" priority="1017">
      <formula>AND(X12="E",Y12="T台")</formula>
    </cfRule>
    <cfRule type="expression" dxfId="1028" priority="1018">
      <formula>AND(X12="E",Y12="M7")</formula>
    </cfRule>
    <cfRule type="expression" dxfId="1027" priority="1019">
      <formula>AND(X12="E",Y12="H7")</formula>
    </cfRule>
    <cfRule type="expression" dxfId="1026" priority="1020">
      <formula>AND(X12="E",Y12="CO☆")</formula>
    </cfRule>
    <cfRule type="expression" dxfId="1025" priority="1021">
      <formula>AND(X12="E",Y12="D▲")</formula>
    </cfRule>
    <cfRule type="expression" dxfId="1024" priority="1022">
      <formula>AND(X12="E",Y12="D△")</formula>
    </cfRule>
    <cfRule type="expression" dxfId="1023" priority="1023">
      <formula>AND(X12="E",Y12="Dx")</formula>
    </cfRule>
    <cfRule type="expression" dxfId="1022" priority="1024">
      <formula>AND(X12="E",Y12="D")</formula>
    </cfRule>
    <cfRule type="expression" dxfId="1021" priority="1025">
      <formula>AND(X12="E",Y12="I3")</formula>
    </cfRule>
    <cfRule type="expression" dxfId="1020" priority="1026">
      <formula>AND(X12="E",Y12="A")</formula>
    </cfRule>
    <cfRule type="expression" dxfId="1019" priority="1027">
      <formula>AND(X12="E△",Y12="Co辦")</formula>
    </cfRule>
    <cfRule type="expression" dxfId="1018" priority="1028">
      <formula>AND(X12="E△",Y12="Y6")</formula>
    </cfRule>
    <cfRule type="expression" dxfId="1017" priority="1029">
      <formula>AND(X12="E△",Y12="D1台")</formula>
    </cfRule>
    <cfRule type="expression" dxfId="1016" priority="1030">
      <formula>AND(X12="E△",Y12="M台")</formula>
    </cfRule>
    <cfRule type="expression" dxfId="1015" priority="1031">
      <formula>AND(X12="E△",Y12="T台")</formula>
    </cfRule>
    <cfRule type="expression" dxfId="1014" priority="1032">
      <formula>AND(X12="E△",Y12="M7")</formula>
    </cfRule>
    <cfRule type="expression" dxfId="1013" priority="1033">
      <formula>AND(X12="E△",Y12="H7")</formula>
    </cfRule>
    <cfRule type="expression" dxfId="1012" priority="1034">
      <formula>AND(X12="E△",Y12="CO☆")</formula>
    </cfRule>
    <cfRule type="expression" dxfId="1011" priority="1035">
      <formula>AND(X12="E△",Y12="D▲")</formula>
    </cfRule>
    <cfRule type="expression" dxfId="1010" priority="1036">
      <formula>AND(X12="E△",Y12="D△")</formula>
    </cfRule>
    <cfRule type="expression" dxfId="1009" priority="1037">
      <formula>AND(X12="E△",Y12="Dx")</formula>
    </cfRule>
    <cfRule type="expression" dxfId="1008" priority="1038">
      <formula>AND(X12="E△",Y12="I3")</formula>
    </cfRule>
    <cfRule type="expression" dxfId="1007" priority="1039">
      <formula>AND(X12="E△",Y12="A")</formula>
    </cfRule>
    <cfRule type="expression" dxfId="1006" priority="1040">
      <formula>AND(X12="E△",Y12="D")</formula>
    </cfRule>
    <cfRule type="expression" dxfId="1005" priority="1041">
      <formula>AND(X12="E▲",Y12="D1台")</formula>
    </cfRule>
    <cfRule type="expression" dxfId="1004" priority="1042">
      <formula>AND(X12="E▲",Y12="Co辦")</formula>
    </cfRule>
    <cfRule type="expression" dxfId="1003" priority="1043">
      <formula>AND(X12="E▲",Y12="Y6")</formula>
    </cfRule>
    <cfRule type="expression" dxfId="1002" priority="1044">
      <formula>AND(X12="E▲",Y12="M台")</formula>
    </cfRule>
    <cfRule type="expression" dxfId="1001" priority="1045">
      <formula>AND(X12="E▲",Y12="T台")</formula>
    </cfRule>
    <cfRule type="expression" dxfId="1000" priority="1046">
      <formula>AND(X12="E▲",Y12="M7")</formula>
    </cfRule>
    <cfRule type="expression" dxfId="999" priority="1047">
      <formula>AND(X12="E▲",Y12="H7")</formula>
    </cfRule>
    <cfRule type="expression" dxfId="998" priority="1048">
      <formula>AND(X12="E▲",Y12="CO☆")</formula>
    </cfRule>
    <cfRule type="expression" dxfId="997" priority="1049">
      <formula>AND(X12="E▲",Y12="D▲")</formula>
    </cfRule>
    <cfRule type="expression" dxfId="996" priority="1050">
      <formula>AND(X12="E▲",Y12="D△")</formula>
    </cfRule>
    <cfRule type="expression" dxfId="995" priority="1051">
      <formula>AND(X12="E▲",Y12="Dx")</formula>
    </cfRule>
    <cfRule type="expression" dxfId="994" priority="1052">
      <formula>AND(X12="E▲",Y12="D")</formula>
    </cfRule>
    <cfRule type="expression" dxfId="993" priority="1053">
      <formula>AND(X12="E▲",Y12="I3")</formula>
    </cfRule>
    <cfRule type="expression" dxfId="992" priority="1054">
      <formula>AND(X12="E▲",Y12="A")</formula>
    </cfRule>
  </conditionalFormatting>
  <conditionalFormatting sqref="Y12">
    <cfRule type="expression" dxfId="991" priority="931">
      <formula>AND(X12="W7",Y12="P5")</formula>
    </cfRule>
    <cfRule type="expression" dxfId="990" priority="932">
      <formula>AND(X12="E6",Y12="P5")</formula>
    </cfRule>
    <cfRule type="expression" dxfId="989" priority="933">
      <formula>AND(X12="E△",Y12="P5")</formula>
    </cfRule>
    <cfRule type="expression" dxfId="988" priority="934">
      <formula>AND(X12="E▲",Y12="P5")</formula>
    </cfRule>
    <cfRule type="expression" dxfId="987" priority="935">
      <formula>AND(X12="E▲",Y12="D1☆")</formula>
    </cfRule>
    <cfRule type="expression" dxfId="986" priority="936">
      <formula>AND(X12="E△",Y12="D1☆")</formula>
    </cfRule>
    <cfRule type="expression" dxfId="985" priority="937">
      <formula>AND(X12="E6",Y12="D1☆")</formula>
    </cfRule>
    <cfRule type="expression" dxfId="984" priority="938">
      <formula>AND(X12="W7",Y12="D1☆")</formula>
    </cfRule>
    <cfRule type="expression" dxfId="983" priority="939">
      <formula>AND(X12="W7",Y12="D6")</formula>
    </cfRule>
    <cfRule type="expression" dxfId="982" priority="940">
      <formula>AND(X12="W7",Y12="D7")</formula>
    </cfRule>
    <cfRule type="expression" dxfId="981" priority="941">
      <formula>AND(X12="W7",Y12="D△")</formula>
    </cfRule>
    <cfRule type="expression" dxfId="980" priority="942">
      <formula>AND(X12="W7",Y12="D▲")</formula>
    </cfRule>
    <cfRule type="expression" dxfId="979" priority="943">
      <formula>AND(X12="W7",Y12="CO☆")</formula>
    </cfRule>
    <cfRule type="expression" dxfId="978" priority="944">
      <formula>AND(X12="W7",Y12="H5")</formula>
    </cfRule>
    <cfRule type="expression" dxfId="977" priority="945">
      <formula>AND(X12="W7",Y12="M5")</formula>
    </cfRule>
    <cfRule type="expression" dxfId="976" priority="946">
      <formula>AND(X12="W7",Y12="T台")</formula>
    </cfRule>
    <cfRule type="expression" dxfId="975" priority="947">
      <formula>AND(X12="W7",Y12="M台")</formula>
    </cfRule>
    <cfRule type="expression" dxfId="974" priority="948">
      <formula>AND(X12="W7",Y12="D1台")</formula>
    </cfRule>
    <cfRule type="expression" dxfId="973" priority="949">
      <formula>AND(X12="W7",Y12="Y7")</formula>
    </cfRule>
    <cfRule type="expression" dxfId="972" priority="950">
      <formula>AND(X12="W7",Y12="Co辦")</formula>
    </cfRule>
    <cfRule type="expression" dxfId="971" priority="951">
      <formula>AND(X12="E6",Y12="Co辦")</formula>
    </cfRule>
    <cfRule type="expression" dxfId="970" priority="952">
      <formula>AND(X12="E6",Y12="Y7")</formula>
    </cfRule>
    <cfRule type="expression" dxfId="969" priority="953">
      <formula>AND(X12="E6",Y12="D1台")</formula>
    </cfRule>
    <cfRule type="expression" dxfId="968" priority="954">
      <formula>AND(X12="E6",Y12="M台")</formula>
    </cfRule>
    <cfRule type="expression" dxfId="967" priority="955">
      <formula>AND(X12="E6",Y12="T台")</formula>
    </cfRule>
    <cfRule type="expression" dxfId="966" priority="956">
      <formula>AND(X12="E6",Y12="M5")</formula>
    </cfRule>
    <cfRule type="expression" dxfId="965" priority="957">
      <formula>AND(X12="E6",Y12="H5")</formula>
    </cfRule>
    <cfRule type="expression" dxfId="964" priority="958">
      <formula>AND(X12="E6",Y12="CO☆")</formula>
    </cfRule>
    <cfRule type="expression" dxfId="963" priority="959">
      <formula>AND(X12="E6",Y12="D▲")</formula>
    </cfRule>
    <cfRule type="expression" dxfId="962" priority="960">
      <formula>AND(X12="E6",Y12="D△")</formula>
    </cfRule>
    <cfRule type="expression" dxfId="961" priority="961">
      <formula>AND(X12="E6",Y12="D7")</formula>
    </cfRule>
    <cfRule type="expression" dxfId="960" priority="962">
      <formula>AND(X12="E6",Y12="D6")</formula>
    </cfRule>
    <cfRule type="expression" dxfId="959" priority="963">
      <formula>AND(X12="E6",Y12="I3")</formula>
    </cfRule>
    <cfRule type="expression" dxfId="958" priority="964">
      <formula>AND(X12="E6",Y12="A3")</formula>
    </cfRule>
    <cfRule type="expression" dxfId="957" priority="965">
      <formula>AND(X12="E△",Y12="Co辦")</formula>
    </cfRule>
    <cfRule type="expression" dxfId="956" priority="966">
      <formula>AND(X12="E△",Y12="Y7")</formula>
    </cfRule>
    <cfRule type="expression" dxfId="955" priority="967">
      <formula>AND(X12="E△",Y12="D1台")</formula>
    </cfRule>
    <cfRule type="expression" dxfId="954" priority="968">
      <formula>AND(X12="E△",Y12="M台")</formula>
    </cfRule>
    <cfRule type="expression" dxfId="953" priority="969">
      <formula>AND(X12="E△",Y12="T台")</formula>
    </cfRule>
    <cfRule type="expression" dxfId="952" priority="970">
      <formula>AND(X12="E△",Y12="M5")</formula>
    </cfRule>
    <cfRule type="expression" dxfId="951" priority="971">
      <formula>AND(X12="E△",Y12="H5")</formula>
    </cfRule>
    <cfRule type="expression" dxfId="950" priority="972">
      <formula>AND(X12="E△",Y12="CO☆")</formula>
    </cfRule>
    <cfRule type="expression" dxfId="949" priority="973">
      <formula>AND(X12="E△",Y12="D▲")</formula>
    </cfRule>
    <cfRule type="expression" dxfId="948" priority="974">
      <formula>AND(X12="E△",Y12="D△")</formula>
    </cfRule>
    <cfRule type="expression" dxfId="947" priority="975">
      <formula>AND(X12="E△",Y12="D7")</formula>
    </cfRule>
    <cfRule type="expression" dxfId="946" priority="976">
      <formula>AND(X12="E△",Y12="D6")</formula>
    </cfRule>
    <cfRule type="expression" dxfId="945" priority="977">
      <formula>AND(X12="E△",Y12="I3")</formula>
    </cfRule>
    <cfRule type="expression" dxfId="944" priority="978">
      <formula>AND(X12="E△",Y12="A3")</formula>
    </cfRule>
    <cfRule type="expression" dxfId="943" priority="979">
      <formula>AND(X12="E▲",Y12="Co辦")</formula>
    </cfRule>
    <cfRule type="expression" dxfId="942" priority="980">
      <formula>AND(X12="E▲",Y12="Y7")</formula>
    </cfRule>
    <cfRule type="expression" dxfId="941" priority="981">
      <formula>AND(X12="E▲",Y12="D1台")</formula>
    </cfRule>
    <cfRule type="expression" dxfId="940" priority="982">
      <formula>AND(X12="E▲",Y12="M台")</formula>
    </cfRule>
    <cfRule type="expression" dxfId="939" priority="983">
      <formula>AND(X12="E▲",Y12="T台")</formula>
    </cfRule>
    <cfRule type="expression" dxfId="938" priority="984">
      <formula>AND(X12="E▲",Y12="M5")</formula>
    </cfRule>
    <cfRule type="expression" dxfId="937" priority="985">
      <formula>AND(X12="E▲",Y12="H7")</formula>
    </cfRule>
    <cfRule type="expression" dxfId="936" priority="986">
      <formula>AND(X12="E▲",Y12="CO☆")</formula>
    </cfRule>
    <cfRule type="expression" dxfId="935" priority="987">
      <formula>AND(X12="E▲",Y12="D▲")</formula>
    </cfRule>
    <cfRule type="expression" dxfId="934" priority="988">
      <formula>AND(X12="E▲",Y12="D△")</formula>
    </cfRule>
    <cfRule type="expression" dxfId="933" priority="989">
      <formula>AND(X12="E▲",Y12="D7")</formula>
    </cfRule>
    <cfRule type="expression" dxfId="932" priority="990">
      <formula>AND(X12="E▲",Y12="D6")</formula>
    </cfRule>
    <cfRule type="expression" dxfId="931" priority="991">
      <formula>AND(X12="E▲",Y12="I3")</formula>
    </cfRule>
    <cfRule type="expression" dxfId="930" priority="992">
      <formula>AND(X12="E▲",Y12="A3")</formula>
    </cfRule>
  </conditionalFormatting>
  <conditionalFormatting sqref="Y11">
    <cfRule type="expression" dxfId="929" priority="869">
      <formula>AND(X11="W7",Y11="P5")</formula>
    </cfRule>
    <cfRule type="expression" dxfId="928" priority="870">
      <formula>AND(X11="E6",Y11="P5")</formula>
    </cfRule>
    <cfRule type="expression" dxfId="927" priority="871">
      <formula>AND(X11="E△",Y11="P5")</formula>
    </cfRule>
    <cfRule type="expression" dxfId="926" priority="872">
      <formula>AND(X11="E▲",Y11="P5")</formula>
    </cfRule>
    <cfRule type="expression" dxfId="925" priority="873">
      <formula>AND(X11="E▲",Y11="D1☆")</formula>
    </cfRule>
    <cfRule type="expression" dxfId="924" priority="874">
      <formula>AND(X11="E△",Y11="D1☆")</formula>
    </cfRule>
    <cfRule type="expression" dxfId="923" priority="875">
      <formula>AND(X11="E",Y11="D1☆")</formula>
    </cfRule>
    <cfRule type="expression" dxfId="922" priority="876">
      <formula>AND(X11="W6",Y11="D1☆")</formula>
    </cfRule>
    <cfRule type="expression" dxfId="921" priority="877">
      <formula>AND(X11="W6",Y11="D")</formula>
    </cfRule>
    <cfRule type="expression" dxfId="920" priority="878">
      <formula>AND(X11="W6",Y11="Dx")</formula>
    </cfRule>
    <cfRule type="expression" dxfId="919" priority="879">
      <formula>AND(X11="W6",Y11="D△")</formula>
    </cfRule>
    <cfRule type="expression" dxfId="918" priority="880">
      <formula>AND(X11="W6",Y11="D▲")</formula>
    </cfRule>
    <cfRule type="expression" dxfId="917" priority="881">
      <formula>AND(X11="W6",Y11="CO☆")</formula>
    </cfRule>
    <cfRule type="expression" dxfId="916" priority="882">
      <formula>AND(X11="W6",Y11="H7")</formula>
    </cfRule>
    <cfRule type="expression" dxfId="915" priority="883">
      <formula>AND(X11="W6",Y11="M7")</formula>
    </cfRule>
    <cfRule type="expression" dxfId="914" priority="884">
      <formula>AND(X11="W6",Y11="T台")</formula>
    </cfRule>
    <cfRule type="expression" dxfId="913" priority="885">
      <formula>AND(X11="W6",Y11="M台")</formula>
    </cfRule>
    <cfRule type="expression" dxfId="912" priority="886">
      <formula>AND(X11="W6",Y11="D1台")</formula>
    </cfRule>
    <cfRule type="expression" dxfId="911" priority="887">
      <formula>AND(X11="W6",Y11="Y6")</formula>
    </cfRule>
    <cfRule type="expression" dxfId="910" priority="888">
      <formula>AND(X11="W6",Y11="Co辦")</formula>
    </cfRule>
    <cfRule type="expression" dxfId="909" priority="889">
      <formula>AND(X11="E",Y11="Co辦")</formula>
    </cfRule>
    <cfRule type="expression" dxfId="908" priority="890">
      <formula>AND(X11="E",Y11="Y6")</formula>
    </cfRule>
    <cfRule type="expression" dxfId="907" priority="891">
      <formula>AND(X11="E",Y11="D1台")</formula>
    </cfRule>
    <cfRule type="expression" dxfId="906" priority="892">
      <formula>AND(X11="E",Y11="M台")</formula>
    </cfRule>
    <cfRule type="expression" dxfId="905" priority="893">
      <formula>AND(X11="E",Y11="T台")</formula>
    </cfRule>
    <cfRule type="expression" dxfId="904" priority="894">
      <formula>AND(X11="E",Y11="M7")</formula>
    </cfRule>
    <cfRule type="expression" dxfId="903" priority="895">
      <formula>AND(X11="E",Y11="H7")</formula>
    </cfRule>
    <cfRule type="expression" dxfId="902" priority="896">
      <formula>AND(X11="E",Y11="CO☆")</formula>
    </cfRule>
    <cfRule type="expression" dxfId="901" priority="897">
      <formula>AND(X11="E",Y11="D▲")</formula>
    </cfRule>
    <cfRule type="expression" dxfId="900" priority="898">
      <formula>AND(X11="E",Y11="D△")</formula>
    </cfRule>
    <cfRule type="expression" dxfId="899" priority="899">
      <formula>AND(X11="E",Y11="Dx")</formula>
    </cfRule>
    <cfRule type="expression" dxfId="898" priority="900">
      <formula>AND(X11="E",Y11="D")</formula>
    </cfRule>
    <cfRule type="expression" dxfId="897" priority="901">
      <formula>AND(X11="E",Y11="I3")</formula>
    </cfRule>
    <cfRule type="expression" dxfId="896" priority="902">
      <formula>AND(X11="E",Y11="A")</formula>
    </cfRule>
    <cfRule type="expression" dxfId="895" priority="903">
      <formula>AND(X11="E△",Y11="Co辦")</formula>
    </cfRule>
    <cfRule type="expression" dxfId="894" priority="904">
      <formula>AND(X11="E△",Y11="Y6")</formula>
    </cfRule>
    <cfRule type="expression" dxfId="893" priority="905">
      <formula>AND(X11="E△",Y11="D1台")</formula>
    </cfRule>
    <cfRule type="expression" dxfId="892" priority="906">
      <formula>AND(X11="E△",Y11="M台")</formula>
    </cfRule>
    <cfRule type="expression" dxfId="891" priority="907">
      <formula>AND(X11="E△",Y11="T台")</formula>
    </cfRule>
    <cfRule type="expression" dxfId="890" priority="908">
      <formula>AND(X11="E△",Y11="M7")</formula>
    </cfRule>
    <cfRule type="expression" dxfId="889" priority="909">
      <formula>AND(X11="E△",Y11="H7")</formula>
    </cfRule>
    <cfRule type="expression" dxfId="888" priority="910">
      <formula>AND(X11="E△",Y11="CO☆")</formula>
    </cfRule>
    <cfRule type="expression" dxfId="887" priority="911">
      <formula>AND(X11="E△",Y11="D▲")</formula>
    </cfRule>
    <cfRule type="expression" dxfId="886" priority="912">
      <formula>AND(X11="E△",Y11="D△")</formula>
    </cfRule>
    <cfRule type="expression" dxfId="885" priority="913">
      <formula>AND(X11="E△",Y11="Dx")</formula>
    </cfRule>
    <cfRule type="expression" dxfId="884" priority="914">
      <formula>AND(X11="E△",Y11="I3")</formula>
    </cfRule>
    <cfRule type="expression" dxfId="883" priority="915">
      <formula>AND(X11="E△",Y11="A")</formula>
    </cfRule>
    <cfRule type="expression" dxfId="882" priority="916">
      <formula>AND(X11="E△",Y11="D")</formula>
    </cfRule>
    <cfRule type="expression" dxfId="881" priority="917">
      <formula>AND(X11="E▲",Y11="D1台")</formula>
    </cfRule>
    <cfRule type="expression" dxfId="880" priority="918">
      <formula>AND(X11="E▲",Y11="Co辦")</formula>
    </cfRule>
    <cfRule type="expression" dxfId="879" priority="919">
      <formula>AND(X11="E▲",Y11="Y6")</formula>
    </cfRule>
    <cfRule type="expression" dxfId="878" priority="920">
      <formula>AND(X11="E▲",Y11="M台")</formula>
    </cfRule>
    <cfRule type="expression" dxfId="877" priority="921">
      <formula>AND(X11="E▲",Y11="T台")</formula>
    </cfRule>
    <cfRule type="expression" dxfId="876" priority="922">
      <formula>AND(X11="E▲",Y11="M7")</formula>
    </cfRule>
    <cfRule type="expression" dxfId="875" priority="923">
      <formula>AND(X11="E▲",Y11="H7")</formula>
    </cfRule>
    <cfRule type="expression" dxfId="874" priority="924">
      <formula>AND(X11="E▲",Y11="CO☆")</formula>
    </cfRule>
    <cfRule type="expression" dxfId="873" priority="925">
      <formula>AND(X11="E▲",Y11="D▲")</formula>
    </cfRule>
    <cfRule type="expression" dxfId="872" priority="926">
      <formula>AND(X11="E▲",Y11="D△")</formula>
    </cfRule>
    <cfRule type="expression" dxfId="871" priority="927">
      <formula>AND(X11="E▲",Y11="Dx")</formula>
    </cfRule>
    <cfRule type="expression" dxfId="870" priority="928">
      <formula>AND(X11="E▲",Y11="D")</formula>
    </cfRule>
    <cfRule type="expression" dxfId="869" priority="929">
      <formula>AND(X11="E▲",Y11="I3")</formula>
    </cfRule>
    <cfRule type="expression" dxfId="868" priority="930">
      <formula>AND(X11="E▲",Y11="A")</formula>
    </cfRule>
  </conditionalFormatting>
  <conditionalFormatting sqref="Y11">
    <cfRule type="expression" dxfId="867" priority="807">
      <formula>AND(X11="W7",Y11="P5")</formula>
    </cfRule>
    <cfRule type="expression" dxfId="866" priority="808">
      <formula>AND(X11="E6",Y11="P5")</formula>
    </cfRule>
    <cfRule type="expression" dxfId="865" priority="809">
      <formula>AND(X11="E△",Y11="P5")</formula>
    </cfRule>
    <cfRule type="expression" dxfId="864" priority="810">
      <formula>AND(X11="E▲",Y11="P5")</formula>
    </cfRule>
    <cfRule type="expression" dxfId="863" priority="811">
      <formula>AND(X11="E▲",Y11="D1☆")</formula>
    </cfRule>
    <cfRule type="expression" dxfId="862" priority="812">
      <formula>AND(X11="E△",Y11="D1☆")</formula>
    </cfRule>
    <cfRule type="expression" dxfId="861" priority="813">
      <formula>AND(X11="E6",Y11="D1☆")</formula>
    </cfRule>
    <cfRule type="expression" dxfId="860" priority="814">
      <formula>AND(X11="W7",Y11="D1☆")</formula>
    </cfRule>
    <cfRule type="expression" dxfId="859" priority="815">
      <formula>AND(X11="W7",Y11="D6")</formula>
    </cfRule>
    <cfRule type="expression" dxfId="858" priority="816">
      <formula>AND(X11="W7",Y11="D7")</formula>
    </cfRule>
    <cfRule type="expression" dxfId="857" priority="817">
      <formula>AND(X11="W7",Y11="D△")</formula>
    </cfRule>
    <cfRule type="expression" dxfId="856" priority="818">
      <formula>AND(X11="W7",Y11="D▲")</formula>
    </cfRule>
    <cfRule type="expression" dxfId="855" priority="819">
      <formula>AND(X11="W7",Y11="CO☆")</formula>
    </cfRule>
    <cfRule type="expression" dxfId="854" priority="820">
      <formula>AND(X11="W7",Y11="H5")</formula>
    </cfRule>
    <cfRule type="expression" dxfId="853" priority="821">
      <formula>AND(X11="W7",Y11="M5")</formula>
    </cfRule>
    <cfRule type="expression" dxfId="852" priority="822">
      <formula>AND(X11="W7",Y11="T台")</formula>
    </cfRule>
    <cfRule type="expression" dxfId="851" priority="823">
      <formula>AND(X11="W7",Y11="M台")</formula>
    </cfRule>
    <cfRule type="expression" dxfId="850" priority="824">
      <formula>AND(X11="W7",Y11="D1台")</formula>
    </cfRule>
    <cfRule type="expression" dxfId="849" priority="825">
      <formula>AND(X11="W7",Y11="Y7")</formula>
    </cfRule>
    <cfRule type="expression" dxfId="848" priority="826">
      <formula>AND(X11="W7",Y11="Co辦")</formula>
    </cfRule>
    <cfRule type="expression" dxfId="847" priority="827">
      <formula>AND(X11="E6",Y11="Co辦")</formula>
    </cfRule>
    <cfRule type="expression" dxfId="846" priority="828">
      <formula>AND(X11="E6",Y11="Y7")</formula>
    </cfRule>
    <cfRule type="expression" dxfId="845" priority="829">
      <formula>AND(X11="E6",Y11="D1台")</formula>
    </cfRule>
    <cfRule type="expression" dxfId="844" priority="830">
      <formula>AND(X11="E6",Y11="M台")</formula>
    </cfRule>
    <cfRule type="expression" dxfId="843" priority="831">
      <formula>AND(X11="E6",Y11="T台")</formula>
    </cfRule>
    <cfRule type="expression" dxfId="842" priority="832">
      <formula>AND(X11="E6",Y11="M5")</formula>
    </cfRule>
    <cfRule type="expression" dxfId="841" priority="833">
      <formula>AND(X11="E6",Y11="H5")</formula>
    </cfRule>
    <cfRule type="expression" dxfId="840" priority="834">
      <formula>AND(X11="E6",Y11="CO☆")</formula>
    </cfRule>
    <cfRule type="expression" dxfId="839" priority="835">
      <formula>AND(X11="E6",Y11="D▲")</formula>
    </cfRule>
    <cfRule type="expression" dxfId="838" priority="836">
      <formula>AND(X11="E6",Y11="D△")</formula>
    </cfRule>
    <cfRule type="expression" dxfId="837" priority="837">
      <formula>AND(X11="E6",Y11="D7")</formula>
    </cfRule>
    <cfRule type="expression" dxfId="836" priority="838">
      <formula>AND(X11="E6",Y11="D6")</formula>
    </cfRule>
    <cfRule type="expression" dxfId="835" priority="839">
      <formula>AND(X11="E6",Y11="I3")</formula>
    </cfRule>
    <cfRule type="expression" dxfId="834" priority="840">
      <formula>AND(X11="E6",Y11="A3")</formula>
    </cfRule>
    <cfRule type="expression" dxfId="833" priority="841">
      <formula>AND(X11="E△",Y11="Co辦")</formula>
    </cfRule>
    <cfRule type="expression" dxfId="832" priority="842">
      <formula>AND(X11="E△",Y11="Y7")</formula>
    </cfRule>
    <cfRule type="expression" dxfId="831" priority="843">
      <formula>AND(X11="E△",Y11="D1台")</formula>
    </cfRule>
    <cfRule type="expression" dxfId="830" priority="844">
      <formula>AND(X11="E△",Y11="M台")</formula>
    </cfRule>
    <cfRule type="expression" dxfId="829" priority="845">
      <formula>AND(X11="E△",Y11="T台")</formula>
    </cfRule>
    <cfRule type="expression" dxfId="828" priority="846">
      <formula>AND(X11="E△",Y11="M5")</formula>
    </cfRule>
    <cfRule type="expression" dxfId="827" priority="847">
      <formula>AND(X11="E△",Y11="H5")</formula>
    </cfRule>
    <cfRule type="expression" dxfId="826" priority="848">
      <formula>AND(X11="E△",Y11="CO☆")</formula>
    </cfRule>
    <cfRule type="expression" dxfId="825" priority="849">
      <formula>AND(X11="E△",Y11="D▲")</formula>
    </cfRule>
    <cfRule type="expression" dxfId="824" priority="850">
      <formula>AND(X11="E△",Y11="D△")</formula>
    </cfRule>
    <cfRule type="expression" dxfId="823" priority="851">
      <formula>AND(X11="E△",Y11="D7")</formula>
    </cfRule>
    <cfRule type="expression" dxfId="822" priority="852">
      <formula>AND(X11="E△",Y11="D6")</formula>
    </cfRule>
    <cfRule type="expression" dxfId="821" priority="853">
      <formula>AND(X11="E△",Y11="I3")</formula>
    </cfRule>
    <cfRule type="expression" dxfId="820" priority="854">
      <formula>AND(X11="E△",Y11="A3")</formula>
    </cfRule>
    <cfRule type="expression" dxfId="819" priority="855">
      <formula>AND(X11="E▲",Y11="Co辦")</formula>
    </cfRule>
    <cfRule type="expression" dxfId="818" priority="856">
      <formula>AND(X11="E▲",Y11="Y7")</formula>
    </cfRule>
    <cfRule type="expression" dxfId="817" priority="857">
      <formula>AND(X11="E▲",Y11="D1台")</formula>
    </cfRule>
    <cfRule type="expression" dxfId="816" priority="858">
      <formula>AND(X11="E▲",Y11="M台")</formula>
    </cfRule>
    <cfRule type="expression" dxfId="815" priority="859">
      <formula>AND(X11="E▲",Y11="T台")</formula>
    </cfRule>
    <cfRule type="expression" dxfId="814" priority="860">
      <formula>AND(X11="E▲",Y11="M5")</formula>
    </cfRule>
    <cfRule type="expression" dxfId="813" priority="861">
      <formula>AND(X11="E▲",Y11="H7")</formula>
    </cfRule>
    <cfRule type="expression" dxfId="812" priority="862">
      <formula>AND(X11="E▲",Y11="CO☆")</formula>
    </cfRule>
    <cfRule type="expression" dxfId="811" priority="863">
      <formula>AND(X11="E▲",Y11="D▲")</formula>
    </cfRule>
    <cfRule type="expression" dxfId="810" priority="864">
      <formula>AND(X11="E▲",Y11="D△")</formula>
    </cfRule>
    <cfRule type="expression" dxfId="809" priority="865">
      <formula>AND(X11="E▲",Y11="D7")</formula>
    </cfRule>
    <cfRule type="expression" dxfId="808" priority="866">
      <formula>AND(X11="E▲",Y11="D6")</formula>
    </cfRule>
    <cfRule type="expression" dxfId="807" priority="867">
      <formula>AND(X11="E▲",Y11="I3")</formula>
    </cfRule>
    <cfRule type="expression" dxfId="806" priority="868">
      <formula>AND(X11="E▲",Y11="A3")</formula>
    </cfRule>
  </conditionalFormatting>
  <conditionalFormatting sqref="X11:Y11">
    <cfRule type="expression" dxfId="805" priority="745">
      <formula>AND(W11="W7",X11="P5")</formula>
    </cfRule>
    <cfRule type="expression" dxfId="804" priority="746">
      <formula>AND(W11="E6",X11="P5")</formula>
    </cfRule>
    <cfRule type="expression" dxfId="803" priority="747">
      <formula>AND(W11="E△",X11="P5")</formula>
    </cfRule>
    <cfRule type="expression" dxfId="802" priority="748">
      <formula>AND(W11="E▲",X11="P5")</formula>
    </cfRule>
    <cfRule type="expression" dxfId="801" priority="749">
      <formula>AND(W11="E▲",X11="D1☆")</formula>
    </cfRule>
    <cfRule type="expression" dxfId="800" priority="750">
      <formula>AND(W11="E△",X11="D1☆")</formula>
    </cfRule>
    <cfRule type="expression" dxfId="799" priority="751">
      <formula>AND(W11="E",X11="D1☆")</formula>
    </cfRule>
    <cfRule type="expression" dxfId="798" priority="752">
      <formula>AND(W11="W6",X11="D1☆")</formula>
    </cfRule>
    <cfRule type="expression" dxfId="797" priority="753">
      <formula>AND(W11="W6",X11="D")</formula>
    </cfRule>
    <cfRule type="expression" dxfId="796" priority="754">
      <formula>AND(W11="W6",X11="Dx")</formula>
    </cfRule>
    <cfRule type="expression" dxfId="795" priority="755">
      <formula>AND(W11="W6",X11="D△")</formula>
    </cfRule>
    <cfRule type="expression" dxfId="794" priority="756">
      <formula>AND(W11="W6",X11="D▲")</formula>
    </cfRule>
    <cfRule type="expression" dxfId="793" priority="757">
      <formula>AND(W11="W6",X11="CO☆")</formula>
    </cfRule>
    <cfRule type="expression" dxfId="792" priority="758">
      <formula>AND(W11="W6",X11="H7")</formula>
    </cfRule>
    <cfRule type="expression" dxfId="791" priority="759">
      <formula>AND(W11="W6",X11="M7")</formula>
    </cfRule>
    <cfRule type="expression" dxfId="790" priority="760">
      <formula>AND(W11="W6",X11="T台")</formula>
    </cfRule>
    <cfRule type="expression" dxfId="789" priority="761">
      <formula>AND(W11="W6",X11="M台")</formula>
    </cfRule>
    <cfRule type="expression" dxfId="788" priority="762">
      <formula>AND(W11="W6",X11="D1台")</formula>
    </cfRule>
    <cfRule type="expression" dxfId="787" priority="763">
      <formula>AND(W11="W6",X11="Y6")</formula>
    </cfRule>
    <cfRule type="expression" dxfId="786" priority="764">
      <formula>AND(W11="W6",X11="Co辦")</formula>
    </cfRule>
    <cfRule type="expression" dxfId="785" priority="765">
      <formula>AND(W11="E",X11="Co辦")</formula>
    </cfRule>
    <cfRule type="expression" dxfId="784" priority="766">
      <formula>AND(W11="E",X11="Y6")</formula>
    </cfRule>
    <cfRule type="expression" dxfId="783" priority="767">
      <formula>AND(W11="E",X11="D1台")</formula>
    </cfRule>
    <cfRule type="expression" dxfId="782" priority="768">
      <formula>AND(W11="E",X11="M台")</formula>
    </cfRule>
    <cfRule type="expression" dxfId="781" priority="769">
      <formula>AND(W11="E",X11="T台")</formula>
    </cfRule>
    <cfRule type="expression" dxfId="780" priority="770">
      <formula>AND(W11="E",X11="M7")</formula>
    </cfRule>
    <cfRule type="expression" dxfId="779" priority="771">
      <formula>AND(W11="E",X11="H7")</formula>
    </cfRule>
    <cfRule type="expression" dxfId="778" priority="772">
      <formula>AND(W11="E",X11="CO☆")</formula>
    </cfRule>
    <cfRule type="expression" dxfId="777" priority="773">
      <formula>AND(W11="E",X11="D▲")</formula>
    </cfRule>
    <cfRule type="expression" dxfId="776" priority="774">
      <formula>AND(W11="E",X11="D△")</formula>
    </cfRule>
    <cfRule type="expression" dxfId="775" priority="775">
      <formula>AND(W11="E",X11="Dx")</formula>
    </cfRule>
    <cfRule type="expression" dxfId="774" priority="776">
      <formula>AND(W11="E",X11="D")</formula>
    </cfRule>
    <cfRule type="expression" dxfId="773" priority="777">
      <formula>AND(W11="E",X11="I3")</formula>
    </cfRule>
    <cfRule type="expression" dxfId="772" priority="778">
      <formula>AND(W11="E",X11="A")</formula>
    </cfRule>
    <cfRule type="expression" dxfId="771" priority="779">
      <formula>AND(W11="E△",X11="Co辦")</formula>
    </cfRule>
    <cfRule type="expression" dxfId="770" priority="780">
      <formula>AND(W11="E△",X11="Y6")</formula>
    </cfRule>
    <cfRule type="expression" dxfId="769" priority="781">
      <formula>AND(W11="E△",X11="D1台")</formula>
    </cfRule>
    <cfRule type="expression" dxfId="768" priority="782">
      <formula>AND(W11="E△",X11="M台")</formula>
    </cfRule>
    <cfRule type="expression" dxfId="767" priority="783">
      <formula>AND(W11="E△",X11="T台")</formula>
    </cfRule>
    <cfRule type="expression" dxfId="766" priority="784">
      <formula>AND(W11="E△",X11="M7")</formula>
    </cfRule>
    <cfRule type="expression" dxfId="765" priority="785">
      <formula>AND(W11="E△",X11="H7")</formula>
    </cfRule>
    <cfRule type="expression" dxfId="764" priority="786">
      <formula>AND(W11="E△",X11="CO☆")</formula>
    </cfRule>
    <cfRule type="expression" dxfId="763" priority="787">
      <formula>AND(W11="E△",X11="D▲")</formula>
    </cfRule>
    <cfRule type="expression" dxfId="762" priority="788">
      <formula>AND(W11="E△",X11="D△")</formula>
    </cfRule>
    <cfRule type="expression" dxfId="761" priority="789">
      <formula>AND(W11="E△",X11="Dx")</formula>
    </cfRule>
    <cfRule type="expression" dxfId="760" priority="790">
      <formula>AND(W11="E△",X11="I3")</formula>
    </cfRule>
    <cfRule type="expression" dxfId="759" priority="791">
      <formula>AND(W11="E△",X11="A")</formula>
    </cfRule>
    <cfRule type="expression" dxfId="758" priority="792">
      <formula>AND(W11="E△",X11="D")</formula>
    </cfRule>
    <cfRule type="expression" dxfId="757" priority="793">
      <formula>AND(W11="E▲",X11="D1台")</formula>
    </cfRule>
    <cfRule type="expression" dxfId="756" priority="794">
      <formula>AND(W11="E▲",X11="Co辦")</formula>
    </cfRule>
    <cfRule type="expression" dxfId="755" priority="795">
      <formula>AND(W11="E▲",X11="Y6")</formula>
    </cfRule>
    <cfRule type="expression" dxfId="754" priority="796">
      <formula>AND(W11="E▲",X11="M台")</formula>
    </cfRule>
    <cfRule type="expression" dxfId="753" priority="797">
      <formula>AND(W11="E▲",X11="T台")</formula>
    </cfRule>
    <cfRule type="expression" dxfId="752" priority="798">
      <formula>AND(W11="E▲",X11="M7")</formula>
    </cfRule>
    <cfRule type="expression" dxfId="751" priority="799">
      <formula>AND(W11="E▲",X11="H7")</formula>
    </cfRule>
    <cfRule type="expression" dxfId="750" priority="800">
      <formula>AND(W11="E▲",X11="CO☆")</formula>
    </cfRule>
    <cfRule type="expression" dxfId="749" priority="801">
      <formula>AND(W11="E▲",X11="D▲")</formula>
    </cfRule>
    <cfRule type="expression" dxfId="748" priority="802">
      <formula>AND(W11="E▲",X11="D△")</formula>
    </cfRule>
    <cfRule type="expression" dxfId="747" priority="803">
      <formula>AND(W11="E▲",X11="Dx")</formula>
    </cfRule>
    <cfRule type="expression" dxfId="746" priority="804">
      <formula>AND(W11="E▲",X11="D")</formula>
    </cfRule>
    <cfRule type="expression" dxfId="745" priority="805">
      <formula>AND(W11="E▲",X11="I3")</formula>
    </cfRule>
    <cfRule type="expression" dxfId="744" priority="806">
      <formula>AND(W11="E▲",X11="A")</formula>
    </cfRule>
  </conditionalFormatting>
  <conditionalFormatting sqref="X11:Y11">
    <cfRule type="expression" dxfId="743" priority="683">
      <formula>AND(W11="W7",X11="P5")</formula>
    </cfRule>
    <cfRule type="expression" dxfId="742" priority="684">
      <formula>AND(W11="E6",X11="P5")</formula>
    </cfRule>
    <cfRule type="expression" dxfId="741" priority="685">
      <formula>AND(W11="E△",X11="P5")</formula>
    </cfRule>
    <cfRule type="expression" dxfId="740" priority="686">
      <formula>AND(W11="E▲",X11="P5")</formula>
    </cfRule>
    <cfRule type="expression" dxfId="739" priority="687">
      <formula>AND(W11="E▲",X11="D1☆")</formula>
    </cfRule>
    <cfRule type="expression" dxfId="738" priority="688">
      <formula>AND(W11="E△",X11="D1☆")</formula>
    </cfRule>
    <cfRule type="expression" dxfId="737" priority="689">
      <formula>AND(W11="E6",X11="D1☆")</formula>
    </cfRule>
    <cfRule type="expression" dxfId="736" priority="690">
      <formula>AND(W11="W7",X11="D1☆")</formula>
    </cfRule>
    <cfRule type="expression" dxfId="735" priority="691">
      <formula>AND(W11="W7",X11="D6")</formula>
    </cfRule>
    <cfRule type="expression" dxfId="734" priority="692">
      <formula>AND(W11="W7",X11="D7")</formula>
    </cfRule>
    <cfRule type="expression" dxfId="733" priority="693">
      <formula>AND(W11="W7",X11="D△")</formula>
    </cfRule>
    <cfRule type="expression" dxfId="732" priority="694">
      <formula>AND(W11="W7",X11="D▲")</formula>
    </cfRule>
    <cfRule type="expression" dxfId="731" priority="695">
      <formula>AND(W11="W7",X11="CO☆")</formula>
    </cfRule>
    <cfRule type="expression" dxfId="730" priority="696">
      <formula>AND(W11="W7",X11="H5")</formula>
    </cfRule>
    <cfRule type="expression" dxfId="729" priority="697">
      <formula>AND(W11="W7",X11="M5")</formula>
    </cfRule>
    <cfRule type="expression" dxfId="728" priority="698">
      <formula>AND(W11="W7",X11="T台")</formula>
    </cfRule>
    <cfRule type="expression" dxfId="727" priority="699">
      <formula>AND(W11="W7",X11="M台")</formula>
    </cfRule>
    <cfRule type="expression" dxfId="726" priority="700">
      <formula>AND(W11="W7",X11="D1台")</formula>
    </cfRule>
    <cfRule type="expression" dxfId="725" priority="701">
      <formula>AND(W11="W7",X11="Y7")</formula>
    </cfRule>
    <cfRule type="expression" dxfId="724" priority="702">
      <formula>AND(W11="W7",X11="Co辦")</formula>
    </cfRule>
    <cfRule type="expression" dxfId="723" priority="703">
      <formula>AND(W11="E6",X11="Co辦")</formula>
    </cfRule>
    <cfRule type="expression" dxfId="722" priority="704">
      <formula>AND(W11="E6",X11="Y7")</formula>
    </cfRule>
    <cfRule type="expression" dxfId="721" priority="705">
      <formula>AND(W11="E6",X11="D1台")</formula>
    </cfRule>
    <cfRule type="expression" dxfId="720" priority="706">
      <formula>AND(W11="E6",X11="M台")</formula>
    </cfRule>
    <cfRule type="expression" dxfId="719" priority="707">
      <formula>AND(W11="E6",X11="T台")</formula>
    </cfRule>
    <cfRule type="expression" dxfId="718" priority="708">
      <formula>AND(W11="E6",X11="M5")</formula>
    </cfRule>
    <cfRule type="expression" dxfId="717" priority="709">
      <formula>AND(W11="E6",X11="H5")</formula>
    </cfRule>
    <cfRule type="expression" dxfId="716" priority="710">
      <formula>AND(W11="E6",X11="CO☆")</formula>
    </cfRule>
    <cfRule type="expression" dxfId="715" priority="711">
      <formula>AND(W11="E6",X11="D▲")</formula>
    </cfRule>
    <cfRule type="expression" dxfId="714" priority="712">
      <formula>AND(W11="E6",X11="D△")</formula>
    </cfRule>
    <cfRule type="expression" dxfId="713" priority="713">
      <formula>AND(W11="E6",X11="D7")</formula>
    </cfRule>
    <cfRule type="expression" dxfId="712" priority="714">
      <formula>AND(W11="E6",X11="D6")</formula>
    </cfRule>
    <cfRule type="expression" dxfId="711" priority="715">
      <formula>AND(W11="E6",X11="I3")</formula>
    </cfRule>
    <cfRule type="expression" dxfId="710" priority="716">
      <formula>AND(W11="E6",X11="A3")</formula>
    </cfRule>
    <cfRule type="expression" dxfId="709" priority="717">
      <formula>AND(W11="E△",X11="Co辦")</formula>
    </cfRule>
    <cfRule type="expression" dxfId="708" priority="718">
      <formula>AND(W11="E△",X11="Y7")</formula>
    </cfRule>
    <cfRule type="expression" dxfId="707" priority="719">
      <formula>AND(W11="E△",X11="D1台")</formula>
    </cfRule>
    <cfRule type="expression" dxfId="706" priority="720">
      <formula>AND(W11="E△",X11="M台")</formula>
    </cfRule>
    <cfRule type="expression" dxfId="705" priority="721">
      <formula>AND(W11="E△",X11="T台")</formula>
    </cfRule>
    <cfRule type="expression" dxfId="704" priority="722">
      <formula>AND(W11="E△",X11="M5")</formula>
    </cfRule>
    <cfRule type="expression" dxfId="703" priority="723">
      <formula>AND(W11="E△",X11="H5")</formula>
    </cfRule>
    <cfRule type="expression" dxfId="702" priority="724">
      <formula>AND(W11="E△",X11="CO☆")</formula>
    </cfRule>
    <cfRule type="expression" dxfId="701" priority="725">
      <formula>AND(W11="E△",X11="D▲")</formula>
    </cfRule>
    <cfRule type="expression" dxfId="700" priority="726">
      <formula>AND(W11="E△",X11="D△")</formula>
    </cfRule>
    <cfRule type="expression" dxfId="699" priority="727">
      <formula>AND(W11="E△",X11="D7")</formula>
    </cfRule>
    <cfRule type="expression" dxfId="698" priority="728">
      <formula>AND(W11="E△",X11="D6")</formula>
    </cfRule>
    <cfRule type="expression" dxfId="697" priority="729">
      <formula>AND(W11="E△",X11="I3")</formula>
    </cfRule>
    <cfRule type="expression" dxfId="696" priority="730">
      <formula>AND(W11="E△",X11="A3")</formula>
    </cfRule>
    <cfRule type="expression" dxfId="695" priority="731">
      <formula>AND(W11="E▲",X11="Co辦")</formula>
    </cfRule>
    <cfRule type="expression" dxfId="694" priority="732">
      <formula>AND(W11="E▲",X11="Y7")</formula>
    </cfRule>
    <cfRule type="expression" dxfId="693" priority="733">
      <formula>AND(W11="E▲",X11="D1台")</formula>
    </cfRule>
    <cfRule type="expression" dxfId="692" priority="734">
      <formula>AND(W11="E▲",X11="M台")</formula>
    </cfRule>
    <cfRule type="expression" dxfId="691" priority="735">
      <formula>AND(W11="E▲",X11="T台")</formula>
    </cfRule>
    <cfRule type="expression" dxfId="690" priority="736">
      <formula>AND(W11="E▲",X11="M5")</formula>
    </cfRule>
    <cfRule type="expression" dxfId="689" priority="737">
      <formula>AND(W11="E▲",X11="H7")</formula>
    </cfRule>
    <cfRule type="expression" dxfId="688" priority="738">
      <formula>AND(W11="E▲",X11="CO☆")</formula>
    </cfRule>
    <cfRule type="expression" dxfId="687" priority="739">
      <formula>AND(W11="E▲",X11="D▲")</formula>
    </cfRule>
    <cfRule type="expression" dxfId="686" priority="740">
      <formula>AND(W11="E▲",X11="D△")</formula>
    </cfRule>
    <cfRule type="expression" dxfId="685" priority="741">
      <formula>AND(W11="E▲",X11="D7")</formula>
    </cfRule>
    <cfRule type="expression" dxfId="684" priority="742">
      <formula>AND(W11="E▲",X11="D6")</formula>
    </cfRule>
    <cfRule type="expression" dxfId="683" priority="743">
      <formula>AND(W11="E▲",X11="I3")</formula>
    </cfRule>
    <cfRule type="expression" dxfId="682" priority="744">
      <formula>AND(W11="E▲",X11="A3")</formula>
    </cfRule>
  </conditionalFormatting>
  <conditionalFormatting sqref="X12">
    <cfRule type="expression" dxfId="681" priority="621">
      <formula>AND(W12="W7",X12="P5")</formula>
    </cfRule>
    <cfRule type="expression" dxfId="680" priority="622">
      <formula>AND(W12="E6",X12="P5")</formula>
    </cfRule>
    <cfRule type="expression" dxfId="679" priority="623">
      <formula>AND(W12="E△",X12="P5")</formula>
    </cfRule>
    <cfRule type="expression" dxfId="678" priority="624">
      <formula>AND(W12="E▲",X12="P5")</formula>
    </cfRule>
    <cfRule type="expression" dxfId="677" priority="625">
      <formula>AND(W12="E▲",X12="D1☆")</formula>
    </cfRule>
    <cfRule type="expression" dxfId="676" priority="626">
      <formula>AND(W12="E△",X12="D1☆")</formula>
    </cfRule>
    <cfRule type="expression" dxfId="675" priority="627">
      <formula>AND(W12="E",X12="D1☆")</formula>
    </cfRule>
    <cfRule type="expression" dxfId="674" priority="628">
      <formula>AND(W12="W6",X12="D1☆")</formula>
    </cfRule>
    <cfRule type="expression" dxfId="673" priority="629">
      <formula>AND(W12="W6",X12="D")</formula>
    </cfRule>
    <cfRule type="expression" dxfId="672" priority="630">
      <formula>AND(W12="W6",X12="Dx")</formula>
    </cfRule>
    <cfRule type="expression" dxfId="671" priority="631">
      <formula>AND(W12="W6",X12="D△")</formula>
    </cfRule>
    <cfRule type="expression" dxfId="670" priority="632">
      <formula>AND(W12="W6",X12="D▲")</formula>
    </cfRule>
    <cfRule type="expression" dxfId="669" priority="633">
      <formula>AND(W12="W6",X12="CO☆")</formula>
    </cfRule>
    <cfRule type="expression" dxfId="668" priority="634">
      <formula>AND(W12="W6",X12="H7")</formula>
    </cfRule>
    <cfRule type="expression" dxfId="667" priority="635">
      <formula>AND(W12="W6",X12="M7")</formula>
    </cfRule>
    <cfRule type="expression" dxfId="666" priority="636">
      <formula>AND(W12="W6",X12="T台")</formula>
    </cfRule>
    <cfRule type="expression" dxfId="665" priority="637">
      <formula>AND(W12="W6",X12="M台")</formula>
    </cfRule>
    <cfRule type="expression" dxfId="664" priority="638">
      <formula>AND(W12="W6",X12="D1台")</formula>
    </cfRule>
    <cfRule type="expression" dxfId="663" priority="639">
      <formula>AND(W12="W6",X12="Y6")</formula>
    </cfRule>
    <cfRule type="expression" dxfId="662" priority="640">
      <formula>AND(W12="W6",X12="Co辦")</formula>
    </cfRule>
    <cfRule type="expression" dxfId="661" priority="641">
      <formula>AND(W12="E",X12="Co辦")</formula>
    </cfRule>
    <cfRule type="expression" dxfId="660" priority="642">
      <formula>AND(W12="E",X12="Y6")</formula>
    </cfRule>
    <cfRule type="expression" dxfId="659" priority="643">
      <formula>AND(W12="E",X12="D1台")</formula>
    </cfRule>
    <cfRule type="expression" dxfId="658" priority="644">
      <formula>AND(W12="E",X12="M台")</formula>
    </cfRule>
    <cfRule type="expression" dxfId="657" priority="645">
      <formula>AND(W12="E",X12="T台")</formula>
    </cfRule>
    <cfRule type="expression" dxfId="656" priority="646">
      <formula>AND(W12="E",X12="M7")</formula>
    </cfRule>
    <cfRule type="expression" dxfId="655" priority="647">
      <formula>AND(W12="E",X12="H7")</formula>
    </cfRule>
    <cfRule type="expression" dxfId="654" priority="648">
      <formula>AND(W12="E",X12="CO☆")</formula>
    </cfRule>
    <cfRule type="expression" dxfId="653" priority="649">
      <formula>AND(W12="E",X12="D▲")</formula>
    </cfRule>
    <cfRule type="expression" dxfId="652" priority="650">
      <formula>AND(W12="E",X12="D△")</formula>
    </cfRule>
    <cfRule type="expression" dxfId="651" priority="651">
      <formula>AND(W12="E",X12="Dx")</formula>
    </cfRule>
    <cfRule type="expression" dxfId="650" priority="652">
      <formula>AND(W12="E",X12="D")</formula>
    </cfRule>
    <cfRule type="expression" dxfId="649" priority="653">
      <formula>AND(W12="E",X12="I3")</formula>
    </cfRule>
    <cfRule type="expression" dxfId="648" priority="654">
      <formula>AND(W12="E",X12="A")</formula>
    </cfRule>
    <cfRule type="expression" dxfId="647" priority="655">
      <formula>AND(W12="E△",X12="Co辦")</formula>
    </cfRule>
    <cfRule type="expression" dxfId="646" priority="656">
      <formula>AND(W12="E△",X12="Y6")</formula>
    </cfRule>
    <cfRule type="expression" dxfId="645" priority="657">
      <formula>AND(W12="E△",X12="D1台")</formula>
    </cfRule>
    <cfRule type="expression" dxfId="644" priority="658">
      <formula>AND(W12="E△",X12="M台")</formula>
    </cfRule>
    <cfRule type="expression" dxfId="643" priority="659">
      <formula>AND(W12="E△",X12="T台")</formula>
    </cfRule>
    <cfRule type="expression" dxfId="642" priority="660">
      <formula>AND(W12="E△",X12="M7")</formula>
    </cfRule>
    <cfRule type="expression" dxfId="641" priority="661">
      <formula>AND(W12="E△",X12="H7")</formula>
    </cfRule>
    <cfRule type="expression" dxfId="640" priority="662">
      <formula>AND(W12="E△",X12="CO☆")</formula>
    </cfRule>
    <cfRule type="expression" dxfId="639" priority="663">
      <formula>AND(W12="E△",X12="D▲")</formula>
    </cfRule>
    <cfRule type="expression" dxfId="638" priority="664">
      <formula>AND(W12="E△",X12="D△")</formula>
    </cfRule>
    <cfRule type="expression" dxfId="637" priority="665">
      <formula>AND(W12="E△",X12="Dx")</formula>
    </cfRule>
    <cfRule type="expression" dxfId="636" priority="666">
      <formula>AND(W12="E△",X12="I3")</formula>
    </cfRule>
    <cfRule type="expression" dxfId="635" priority="667">
      <formula>AND(W12="E△",X12="A")</formula>
    </cfRule>
    <cfRule type="expression" dxfId="634" priority="668">
      <formula>AND(W12="E△",X12="D")</formula>
    </cfRule>
    <cfRule type="expression" dxfId="633" priority="669">
      <formula>AND(W12="E▲",X12="D1台")</formula>
    </cfRule>
    <cfRule type="expression" dxfId="632" priority="670">
      <formula>AND(W12="E▲",X12="Co辦")</formula>
    </cfRule>
    <cfRule type="expression" dxfId="631" priority="671">
      <formula>AND(W12="E▲",X12="Y6")</formula>
    </cfRule>
    <cfRule type="expression" dxfId="630" priority="672">
      <formula>AND(W12="E▲",X12="M台")</formula>
    </cfRule>
    <cfRule type="expression" dxfId="629" priority="673">
      <formula>AND(W12="E▲",X12="T台")</formula>
    </cfRule>
    <cfRule type="expression" dxfId="628" priority="674">
      <formula>AND(W12="E▲",X12="M7")</formula>
    </cfRule>
    <cfRule type="expression" dxfId="627" priority="675">
      <formula>AND(W12="E▲",X12="H7")</formula>
    </cfRule>
    <cfRule type="expression" dxfId="626" priority="676">
      <formula>AND(W12="E▲",X12="CO☆")</formula>
    </cfRule>
    <cfRule type="expression" dxfId="625" priority="677">
      <formula>AND(W12="E▲",X12="D▲")</formula>
    </cfRule>
    <cfRule type="expression" dxfId="624" priority="678">
      <formula>AND(W12="E▲",X12="D△")</formula>
    </cfRule>
    <cfRule type="expression" dxfId="623" priority="679">
      <formula>AND(W12="E▲",X12="Dx")</formula>
    </cfRule>
    <cfRule type="expression" dxfId="622" priority="680">
      <formula>AND(W12="E▲",X12="D")</formula>
    </cfRule>
    <cfRule type="expression" dxfId="621" priority="681">
      <formula>AND(W12="E▲",X12="I3")</formula>
    </cfRule>
    <cfRule type="expression" dxfId="620" priority="682">
      <formula>AND(W12="E▲",X12="A")</formula>
    </cfRule>
  </conditionalFormatting>
  <conditionalFormatting sqref="X12">
    <cfRule type="expression" dxfId="619" priority="559">
      <formula>AND(W12="W7",X12="P5")</formula>
    </cfRule>
    <cfRule type="expression" dxfId="618" priority="560">
      <formula>AND(W12="E6",X12="P5")</formula>
    </cfRule>
    <cfRule type="expression" dxfId="617" priority="561">
      <formula>AND(W12="E△",X12="P5")</formula>
    </cfRule>
    <cfRule type="expression" dxfId="616" priority="562">
      <formula>AND(W12="E▲",X12="P5")</formula>
    </cfRule>
    <cfRule type="expression" dxfId="615" priority="563">
      <formula>AND(W12="E▲",X12="D1☆")</formula>
    </cfRule>
    <cfRule type="expression" dxfId="614" priority="564">
      <formula>AND(W12="E△",X12="D1☆")</formula>
    </cfRule>
    <cfRule type="expression" dxfId="613" priority="565">
      <formula>AND(W12="E6",X12="D1☆")</formula>
    </cfRule>
    <cfRule type="expression" dxfId="612" priority="566">
      <formula>AND(W12="W7",X12="D1☆")</formula>
    </cfRule>
    <cfRule type="expression" dxfId="611" priority="567">
      <formula>AND(W12="W7",X12="D6")</formula>
    </cfRule>
    <cfRule type="expression" dxfId="610" priority="568">
      <formula>AND(W12="W7",X12="D7")</formula>
    </cfRule>
    <cfRule type="expression" dxfId="609" priority="569">
      <formula>AND(W12="W7",X12="D△")</formula>
    </cfRule>
    <cfRule type="expression" dxfId="608" priority="570">
      <formula>AND(W12="W7",X12="D▲")</formula>
    </cfRule>
    <cfRule type="expression" dxfId="607" priority="571">
      <formula>AND(W12="W7",X12="CO☆")</formula>
    </cfRule>
    <cfRule type="expression" dxfId="606" priority="572">
      <formula>AND(W12="W7",X12="H5")</formula>
    </cfRule>
    <cfRule type="expression" dxfId="605" priority="573">
      <formula>AND(W12="W7",X12="M5")</formula>
    </cfRule>
    <cfRule type="expression" dxfId="604" priority="574">
      <formula>AND(W12="W7",X12="T台")</formula>
    </cfRule>
    <cfRule type="expression" dxfId="603" priority="575">
      <formula>AND(W12="W7",X12="M台")</formula>
    </cfRule>
    <cfRule type="expression" dxfId="602" priority="576">
      <formula>AND(W12="W7",X12="D1台")</formula>
    </cfRule>
    <cfRule type="expression" dxfId="601" priority="577">
      <formula>AND(W12="W7",X12="Y7")</formula>
    </cfRule>
    <cfRule type="expression" dxfId="600" priority="578">
      <formula>AND(W12="W7",X12="Co辦")</formula>
    </cfRule>
    <cfRule type="expression" dxfId="599" priority="579">
      <formula>AND(W12="E6",X12="Co辦")</formula>
    </cfRule>
    <cfRule type="expression" dxfId="598" priority="580">
      <formula>AND(W12="E6",X12="Y7")</formula>
    </cfRule>
    <cfRule type="expression" dxfId="597" priority="581">
      <formula>AND(W12="E6",X12="D1台")</formula>
    </cfRule>
    <cfRule type="expression" dxfId="596" priority="582">
      <formula>AND(W12="E6",X12="M台")</formula>
    </cfRule>
    <cfRule type="expression" dxfId="595" priority="583">
      <formula>AND(W12="E6",X12="T台")</formula>
    </cfRule>
    <cfRule type="expression" dxfId="594" priority="584">
      <formula>AND(W12="E6",X12="M5")</formula>
    </cfRule>
    <cfRule type="expression" dxfId="593" priority="585">
      <formula>AND(W12="E6",X12="H5")</formula>
    </cfRule>
    <cfRule type="expression" dxfId="592" priority="586">
      <formula>AND(W12="E6",X12="CO☆")</formula>
    </cfRule>
    <cfRule type="expression" dxfId="591" priority="587">
      <formula>AND(W12="E6",X12="D▲")</formula>
    </cfRule>
    <cfRule type="expression" dxfId="590" priority="588">
      <formula>AND(W12="E6",X12="D△")</formula>
    </cfRule>
    <cfRule type="expression" dxfId="589" priority="589">
      <formula>AND(W12="E6",X12="D7")</formula>
    </cfRule>
    <cfRule type="expression" dxfId="588" priority="590">
      <formula>AND(W12="E6",X12="D6")</formula>
    </cfRule>
    <cfRule type="expression" dxfId="587" priority="591">
      <formula>AND(W12="E6",X12="I3")</formula>
    </cfRule>
    <cfRule type="expression" dxfId="586" priority="592">
      <formula>AND(W12="E6",X12="A3")</formula>
    </cfRule>
    <cfRule type="expression" dxfId="585" priority="593">
      <formula>AND(W12="E△",X12="Co辦")</formula>
    </cfRule>
    <cfRule type="expression" dxfId="584" priority="594">
      <formula>AND(W12="E△",X12="Y7")</formula>
    </cfRule>
    <cfRule type="expression" dxfId="583" priority="595">
      <formula>AND(W12="E△",X12="D1台")</formula>
    </cfRule>
    <cfRule type="expression" dxfId="582" priority="596">
      <formula>AND(W12="E△",X12="M台")</formula>
    </cfRule>
    <cfRule type="expression" dxfId="581" priority="597">
      <formula>AND(W12="E△",X12="T台")</formula>
    </cfRule>
    <cfRule type="expression" dxfId="580" priority="598">
      <formula>AND(W12="E△",X12="M5")</formula>
    </cfRule>
    <cfRule type="expression" dxfId="579" priority="599">
      <formula>AND(W12="E△",X12="H5")</formula>
    </cfRule>
    <cfRule type="expression" dxfId="578" priority="600">
      <formula>AND(W12="E△",X12="CO☆")</formula>
    </cfRule>
    <cfRule type="expression" dxfId="577" priority="601">
      <formula>AND(W12="E△",X12="D▲")</formula>
    </cfRule>
    <cfRule type="expression" dxfId="576" priority="602">
      <formula>AND(W12="E△",X12="D△")</formula>
    </cfRule>
    <cfRule type="expression" dxfId="575" priority="603">
      <formula>AND(W12="E△",X12="D7")</formula>
    </cfRule>
    <cfRule type="expression" dxfId="574" priority="604">
      <formula>AND(W12="E△",X12="D6")</formula>
    </cfRule>
    <cfRule type="expression" dxfId="573" priority="605">
      <formula>AND(W12="E△",X12="I3")</formula>
    </cfRule>
    <cfRule type="expression" dxfId="572" priority="606">
      <formula>AND(W12="E△",X12="A3")</formula>
    </cfRule>
    <cfRule type="expression" dxfId="571" priority="607">
      <formula>AND(W12="E▲",X12="Co辦")</formula>
    </cfRule>
    <cfRule type="expression" dxfId="570" priority="608">
      <formula>AND(W12="E▲",X12="Y7")</formula>
    </cfRule>
    <cfRule type="expression" dxfId="569" priority="609">
      <formula>AND(W12="E▲",X12="D1台")</formula>
    </cfRule>
    <cfRule type="expression" dxfId="568" priority="610">
      <formula>AND(W12="E▲",X12="M台")</formula>
    </cfRule>
    <cfRule type="expression" dxfId="567" priority="611">
      <formula>AND(W12="E▲",X12="T台")</formula>
    </cfRule>
    <cfRule type="expression" dxfId="566" priority="612">
      <formula>AND(W12="E▲",X12="M5")</formula>
    </cfRule>
    <cfRule type="expression" dxfId="565" priority="613">
      <formula>AND(W12="E▲",X12="H7")</formula>
    </cfRule>
    <cfRule type="expression" dxfId="564" priority="614">
      <formula>AND(W12="E▲",X12="CO☆")</formula>
    </cfRule>
    <cfRule type="expression" dxfId="563" priority="615">
      <formula>AND(W12="E▲",X12="D▲")</formula>
    </cfRule>
    <cfRule type="expression" dxfId="562" priority="616">
      <formula>AND(W12="E▲",X12="D△")</formula>
    </cfRule>
    <cfRule type="expression" dxfId="561" priority="617">
      <formula>AND(W12="E▲",X12="D7")</formula>
    </cfRule>
    <cfRule type="expression" dxfId="560" priority="618">
      <formula>AND(W12="E▲",X12="D6")</formula>
    </cfRule>
    <cfRule type="expression" dxfId="559" priority="619">
      <formula>AND(W12="E▲",X12="I3")</formula>
    </cfRule>
    <cfRule type="expression" dxfId="558" priority="620">
      <formula>AND(W12="E▲",X12="A3")</formula>
    </cfRule>
  </conditionalFormatting>
  <conditionalFormatting sqref="O14">
    <cfRule type="expression" dxfId="557" priority="497">
      <formula>AND(N14="W7",O14="P5")</formula>
    </cfRule>
    <cfRule type="expression" dxfId="556" priority="498">
      <formula>AND(N14="E6",O14="P5")</formula>
    </cfRule>
    <cfRule type="expression" dxfId="555" priority="499">
      <formula>AND(N14="E△",O14="P5")</formula>
    </cfRule>
    <cfRule type="expression" dxfId="554" priority="500">
      <formula>AND(N14="E▲",O14="P5")</formula>
    </cfRule>
    <cfRule type="expression" dxfId="553" priority="501">
      <formula>AND(N14="W7",O14="D1☆")</formula>
    </cfRule>
    <cfRule type="expression" dxfId="552" priority="502">
      <formula>AND(N14="E6",O14="D1☆")</formula>
    </cfRule>
    <cfRule type="expression" dxfId="551" priority="503">
      <formula>AND(N14="E△",O14="D1☆")</formula>
    </cfRule>
    <cfRule type="expression" dxfId="550" priority="504">
      <formula>AND(N14="E▲",O14="D1☆")</formula>
    </cfRule>
    <cfRule type="expression" dxfId="549" priority="505">
      <formula>AND(N14="E▲",O14="A3")</formula>
    </cfRule>
    <cfRule type="expression" dxfId="548" priority="506">
      <formula>AND(N14="E▲",O14="I3")</formula>
    </cfRule>
    <cfRule type="expression" dxfId="547" priority="507">
      <formula>AND(N14="E▲",O14="D6")</formula>
    </cfRule>
    <cfRule type="expression" dxfId="546" priority="508">
      <formula>AND(N14="E▲",O14="D△")</formula>
    </cfRule>
    <cfRule type="expression" dxfId="545" priority="509">
      <formula>AND(N14="E▲",O14="D7")</formula>
    </cfRule>
    <cfRule type="expression" dxfId="544" priority="510">
      <formula>AND(N14="E▲",O14="D▲")</formula>
    </cfRule>
    <cfRule type="expression" dxfId="543" priority="511">
      <formula>AND(N14="E▲",O14="CO☆")</formula>
    </cfRule>
    <cfRule type="expression" dxfId="542" priority="512">
      <formula>AND(N14="E▲",O14="H5")</formula>
    </cfRule>
    <cfRule type="expression" dxfId="541" priority="513">
      <formula>AND(N14="E▲",O14="M5")</formula>
    </cfRule>
    <cfRule type="expression" dxfId="540" priority="514">
      <formula>AND(N14="E▲",O14="T台")</formula>
    </cfRule>
    <cfRule type="expression" dxfId="539" priority="515">
      <formula>AND(N14="E▲",O14="M台")</formula>
    </cfRule>
    <cfRule type="expression" dxfId="538" priority="516">
      <formula>AND(N14="E▲",O14="D1台")</formula>
    </cfRule>
    <cfRule type="expression" dxfId="537" priority="517">
      <formula>AND(N14="E▲",O14="Y7")</formula>
    </cfRule>
    <cfRule type="expression" dxfId="536" priority="518">
      <formula>AND(N14="E▲",O14="Co辦")</formula>
    </cfRule>
    <cfRule type="expression" dxfId="535" priority="519">
      <formula>AND(N14="E△",O14="A3")</formula>
    </cfRule>
    <cfRule type="expression" dxfId="534" priority="520">
      <formula>AND(N14="E△",O14="I3")</formula>
    </cfRule>
    <cfRule type="expression" dxfId="533" priority="521">
      <formula>AND(N14="E△",O14="D6")</formula>
    </cfRule>
    <cfRule type="expression" dxfId="532" priority="522">
      <formula>AND(N14="E△",O14="D7")</formula>
    </cfRule>
    <cfRule type="expression" dxfId="531" priority="523">
      <formula>AND(N14="E△",O14="D△")</formula>
    </cfRule>
    <cfRule type="expression" dxfId="530" priority="524">
      <formula>AND(N14="E△",O14="D▲")</formula>
    </cfRule>
    <cfRule type="expression" dxfId="529" priority="525">
      <formula>AND(N14="E△",O14="CO☆")</formula>
    </cfRule>
    <cfRule type="expression" dxfId="528" priority="526">
      <formula>AND(N14="E△",O14="H5")</formula>
    </cfRule>
    <cfRule type="expression" dxfId="527" priority="527">
      <formula>AND(N14="E△",O14="M5")</formula>
    </cfRule>
    <cfRule type="expression" dxfId="526" priority="528">
      <formula>AND(N14="E△",O14="T台")</formula>
    </cfRule>
    <cfRule type="expression" dxfId="525" priority="529">
      <formula>AND(N14="E△",O14="M台")</formula>
    </cfRule>
    <cfRule type="expression" dxfId="524" priority="530">
      <formula>AND(N14="E△",O14="D1台")</formula>
    </cfRule>
    <cfRule type="expression" dxfId="523" priority="531">
      <formula>AND(N14="E△",O14="Y7")</formula>
    </cfRule>
    <cfRule type="expression" dxfId="522" priority="532">
      <formula>AND(N14="E△",O14="Co辦")</formula>
    </cfRule>
    <cfRule type="expression" dxfId="521" priority="533">
      <formula>AND(N14="E6",O14="A3")</formula>
    </cfRule>
    <cfRule type="expression" dxfId="520" priority="534">
      <formula>AND(N14="E6",O14="I3")</formula>
    </cfRule>
    <cfRule type="expression" dxfId="519" priority="535">
      <formula>AND(N14="E6",O14="D6")</formula>
    </cfRule>
    <cfRule type="expression" dxfId="518" priority="536">
      <formula>AND(N14="E6",O14="D7")</formula>
    </cfRule>
    <cfRule type="expression" dxfId="517" priority="537">
      <formula>AND(N14="E6",O14="D△")</formula>
    </cfRule>
    <cfRule type="expression" dxfId="516" priority="538">
      <formula>AND(N14="E6",O14="D▲")</formula>
    </cfRule>
    <cfRule type="expression" dxfId="515" priority="539">
      <formula>AND(N14="E6",O14="CO☆")</formula>
    </cfRule>
    <cfRule type="expression" dxfId="514" priority="540">
      <formula>AND(N14="E6",O14="H5")</formula>
    </cfRule>
    <cfRule type="expression" dxfId="513" priority="541">
      <formula>AND(N14="E6",O14="M5")</formula>
    </cfRule>
    <cfRule type="expression" dxfId="512" priority="542">
      <formula>AND(N14="E6",O14="T台")</formula>
    </cfRule>
    <cfRule type="expression" dxfId="511" priority="543">
      <formula>AND(N14="E6",O14="M台")</formula>
    </cfRule>
    <cfRule type="expression" dxfId="510" priority="544">
      <formula>AND(N14="E6",O14="D1台")</formula>
    </cfRule>
    <cfRule type="expression" dxfId="509" priority="545">
      <formula>AND(N14="E6",O14="Y7")</formula>
    </cfRule>
    <cfRule type="expression" dxfId="508" priority="546">
      <formula>AND(N14="E6",O14="Co辦")</formula>
    </cfRule>
    <cfRule type="expression" dxfId="507" priority="547">
      <formula>AND(N14="W7",O14="Co辦")</formula>
    </cfRule>
    <cfRule type="expression" dxfId="506" priority="548">
      <formula>AND(N14="W7",O14="Y7")</formula>
    </cfRule>
    <cfRule type="expression" dxfId="505" priority="549">
      <formula>AND(N14="W7",O14="D1台")</formula>
    </cfRule>
    <cfRule type="expression" dxfId="504" priority="550">
      <formula>AND(N14="W7",O14="M台")</formula>
    </cfRule>
    <cfRule type="expression" dxfId="503" priority="551">
      <formula>AND(N14="W7",O14="T台")</formula>
    </cfRule>
    <cfRule type="expression" dxfId="502" priority="552">
      <formula>AND(N14="W7",O14="M5")</formula>
    </cfRule>
    <cfRule type="expression" dxfId="501" priority="553">
      <formula>AND(N14="W7",O14="H5")</formula>
    </cfRule>
    <cfRule type="expression" dxfId="500" priority="554">
      <formula>AND(N14="W7",O14="CO☆")</formula>
    </cfRule>
    <cfRule type="expression" dxfId="499" priority="555">
      <formula>AND(N14="W7",O14="D▲")</formula>
    </cfRule>
    <cfRule type="expression" dxfId="498" priority="556">
      <formula>AND(N14="W7",O14="D△")</formula>
    </cfRule>
    <cfRule type="expression" dxfId="497" priority="557">
      <formula>AND(N14="W7",O14="D7")</formula>
    </cfRule>
    <cfRule type="expression" dxfId="496" priority="558">
      <formula>AND(N14="W7",O14="D6")</formula>
    </cfRule>
  </conditionalFormatting>
  <conditionalFormatting sqref="O12">
    <cfRule type="expression" dxfId="495" priority="435">
      <formula>AND(N12="E▲",O12="P5")</formula>
    </cfRule>
    <cfRule type="expression" dxfId="494" priority="436">
      <formula>AND(N12="E△",O12="P5")</formula>
    </cfRule>
    <cfRule type="expression" dxfId="493" priority="437">
      <formula>AND(N12="E6",O12="P5")</formula>
    </cfRule>
    <cfRule type="expression" dxfId="492" priority="438">
      <formula>AND(N12="W7",O12="P5")</formula>
    </cfRule>
    <cfRule type="expression" dxfId="491" priority="439">
      <formula>AND(N12="W7",O12="D1☆")</formula>
    </cfRule>
    <cfRule type="expression" dxfId="490" priority="440">
      <formula>AND(N12="E6",O12="D1☆")</formula>
    </cfRule>
    <cfRule type="expression" dxfId="489" priority="441">
      <formula>AND(N12="E△",O12="D1☆")</formula>
    </cfRule>
    <cfRule type="expression" dxfId="488" priority="442">
      <formula>AND(N12="E▲",O12="D1☆")</formula>
    </cfRule>
    <cfRule type="expression" dxfId="487" priority="443">
      <formula>AND(N12="E▲",O12="A3")</formula>
    </cfRule>
    <cfRule type="expression" dxfId="486" priority="444">
      <formula>AND(N12="E▲",O12="I3")</formula>
    </cfRule>
    <cfRule type="expression" dxfId="485" priority="445">
      <formula>AND(N12="E▲",O12="D6")</formula>
    </cfRule>
    <cfRule type="expression" dxfId="484" priority="446">
      <formula>AND(N12="E▲",O12="D7")</formula>
    </cfRule>
    <cfRule type="expression" dxfId="483" priority="447">
      <formula>AND(N12="E▲",O12="D△")</formula>
    </cfRule>
    <cfRule type="expression" dxfId="482" priority="448">
      <formula>AND(N12="E▲",O12="D▲")</formula>
    </cfRule>
    <cfRule type="expression" dxfId="481" priority="449">
      <formula>AND(N12="E▲",O12="CO☆")</formula>
    </cfRule>
    <cfRule type="expression" dxfId="480" priority="450">
      <formula>AND(N12="E▲",O12="H5")</formula>
    </cfRule>
    <cfRule type="expression" dxfId="479" priority="451">
      <formula>AND(N12="E▲",O12="M5")</formula>
    </cfRule>
    <cfRule type="expression" dxfId="478" priority="452">
      <formula>AND(N12="E▲",O12="T台")</formula>
    </cfRule>
    <cfRule type="expression" dxfId="477" priority="453">
      <formula>AND(N12="E▲",O12="M台")</formula>
    </cfRule>
    <cfRule type="expression" dxfId="476" priority="454">
      <formula>AND(N12="E▲",O12="D1台")</formula>
    </cfRule>
    <cfRule type="expression" dxfId="475" priority="455">
      <formula>AND(N12="E▲",O12="Y7")</formula>
    </cfRule>
    <cfRule type="expression" dxfId="474" priority="456">
      <formula>AND(N12="E▲",O12="Co辦")</formula>
    </cfRule>
    <cfRule type="expression" dxfId="473" priority="457">
      <formula>AND(N12="E△",O12="A3")</formula>
    </cfRule>
    <cfRule type="expression" dxfId="472" priority="458">
      <formula>AND(N12="E△",O12="I3")</formula>
    </cfRule>
    <cfRule type="expression" dxfId="471" priority="459">
      <formula>AND(N12="E△",O12="D6")</formula>
    </cfRule>
    <cfRule type="expression" dxfId="470" priority="460">
      <formula>AND(N12="E△",O12="D7")</formula>
    </cfRule>
    <cfRule type="expression" dxfId="469" priority="461">
      <formula>AND(N12="E△",O12="D△")</formula>
    </cfRule>
    <cfRule type="expression" dxfId="468" priority="462">
      <formula>AND(N12="E△",O12="D▲")</formula>
    </cfRule>
    <cfRule type="expression" dxfId="467" priority="463">
      <formula>AND(N12="E△",O12="CO☆")</formula>
    </cfRule>
    <cfRule type="expression" dxfId="466" priority="464">
      <formula>AND(N12="E△",O12="H5")</formula>
    </cfRule>
    <cfRule type="expression" dxfId="465" priority="465">
      <formula>AND(N12="E△",O12="M5")</formula>
    </cfRule>
    <cfRule type="expression" dxfId="464" priority="466">
      <formula>AND(N12="E△",O12="T台")</formula>
    </cfRule>
    <cfRule type="expression" dxfId="463" priority="467">
      <formula>AND(N12="E△",O12="M台")</formula>
    </cfRule>
    <cfRule type="expression" dxfId="462" priority="468">
      <formula>AND(N12="E△",O12="D1台")</formula>
    </cfRule>
    <cfRule type="expression" dxfId="461" priority="469">
      <formula>AND(N12="E△",O12="Y7")</formula>
    </cfRule>
    <cfRule type="expression" dxfId="460" priority="470">
      <formula>AND(N12="E△",O12="Co辦")</formula>
    </cfRule>
    <cfRule type="expression" dxfId="459" priority="471">
      <formula>AND(N12="E6",O12="A3")</formula>
    </cfRule>
    <cfRule type="expression" dxfId="458" priority="472">
      <formula>AND(N12="E6",O12="I3")</formula>
    </cfRule>
    <cfRule type="expression" dxfId="457" priority="473">
      <formula>AND(N12="E6",O12="D6")</formula>
    </cfRule>
    <cfRule type="expression" dxfId="456" priority="474">
      <formula>AND(N12="E6",O12="D7")</formula>
    </cfRule>
    <cfRule type="expression" dxfId="455" priority="475">
      <formula>AND(N12="E6",O12="D△")</formula>
    </cfRule>
    <cfRule type="expression" dxfId="454" priority="476">
      <formula>AND(N12="E6",O12="D▲")</formula>
    </cfRule>
    <cfRule type="expression" dxfId="453" priority="477">
      <formula>AND(N12="E6",O12="CO☆")</formula>
    </cfRule>
    <cfRule type="expression" dxfId="452" priority="478">
      <formula>AND(N12="E6",O12="H5")</formula>
    </cfRule>
    <cfRule type="expression" dxfId="451" priority="479">
      <formula>AND(N12="E6",O12="M5")</formula>
    </cfRule>
    <cfRule type="expression" dxfId="450" priority="480">
      <formula>AND(N12="E6",O12="T台")</formula>
    </cfRule>
    <cfRule type="expression" dxfId="449" priority="481">
      <formula>AND(N12="E6",O12="M台")</formula>
    </cfRule>
    <cfRule type="expression" dxfId="448" priority="482">
      <formula>AND(N12="E6",O12="D1台")</formula>
    </cfRule>
    <cfRule type="expression" dxfId="447" priority="483">
      <formula>AND(N12="E6",O12="Y7")</formula>
    </cfRule>
    <cfRule type="expression" dxfId="446" priority="484">
      <formula>AND(N12="E6",O12="Co辦")</formula>
    </cfRule>
    <cfRule type="expression" dxfId="445" priority="485">
      <formula>AND(N12="W7",O12="Co辦")</formula>
    </cfRule>
    <cfRule type="expression" dxfId="444" priority="486">
      <formula>AND(N12="W7",O12="Y7")</formula>
    </cfRule>
    <cfRule type="expression" dxfId="443" priority="487">
      <formula>AND(N12="W7",O12="D1台")</formula>
    </cfRule>
    <cfRule type="expression" dxfId="442" priority="488">
      <formula>AND(N12="W7",O12="M台")</formula>
    </cfRule>
    <cfRule type="expression" dxfId="441" priority="489">
      <formula>AND(N12="W7",O12="T台")</formula>
    </cfRule>
    <cfRule type="expression" dxfId="440" priority="490">
      <formula>AND(N12="W7",O12="M5")</formula>
    </cfRule>
    <cfRule type="expression" dxfId="439" priority="491">
      <formula>AND(N12="W7",O12="H5")</formula>
    </cfRule>
    <cfRule type="expression" dxfId="438" priority="492">
      <formula>AND(N12="W7",O12="CO☆")</formula>
    </cfRule>
    <cfRule type="expression" dxfId="437" priority="493">
      <formula>AND(N12="W7",O12="D▲")</formula>
    </cfRule>
    <cfRule type="expression" dxfId="436" priority="494">
      <formula>AND(N12="W7",O12="D△")</formula>
    </cfRule>
    <cfRule type="expression" dxfId="435" priority="495">
      <formula>AND(N12="W7",O12="D7")</formula>
    </cfRule>
    <cfRule type="expression" dxfId="434" priority="496">
      <formula>AND(N12="W7",O12="D6")</formula>
    </cfRule>
  </conditionalFormatting>
  <conditionalFormatting sqref="O12">
    <cfRule type="expression" dxfId="433" priority="373">
      <formula>AND(N12="W7",O12="P5")</formula>
    </cfRule>
    <cfRule type="expression" dxfId="432" priority="374">
      <formula>AND(N12="E6",O12="P5")</formula>
    </cfRule>
    <cfRule type="expression" dxfId="431" priority="375">
      <formula>AND(N12="E△",O12="P5")</formula>
    </cfRule>
    <cfRule type="expression" dxfId="430" priority="376">
      <formula>AND(N12="E▲",O12="P5")</formula>
    </cfRule>
    <cfRule type="expression" dxfId="429" priority="377">
      <formula>AND(N12="W7",O12="D1☆")</formula>
    </cfRule>
    <cfRule type="expression" dxfId="428" priority="378">
      <formula>AND(N12="E6",O12="D1☆")</formula>
    </cfRule>
    <cfRule type="expression" dxfId="427" priority="379">
      <formula>AND(N12="E△",O12="D1☆")</formula>
    </cfRule>
    <cfRule type="expression" dxfId="426" priority="380">
      <formula>AND(N12="E▲",O12="D1☆")</formula>
    </cfRule>
    <cfRule type="expression" dxfId="425" priority="381">
      <formula>AND(N12="E▲",O12="A3")</formula>
    </cfRule>
    <cfRule type="expression" dxfId="424" priority="382">
      <formula>AND(N12="E▲",O12="I3")</formula>
    </cfRule>
    <cfRule type="expression" dxfId="423" priority="383">
      <formula>AND(N12="E▲",O12="D6")</formula>
    </cfRule>
    <cfRule type="expression" dxfId="422" priority="384">
      <formula>AND(N12="E▲",O12="D△")</formula>
    </cfRule>
    <cfRule type="expression" dxfId="421" priority="385">
      <formula>AND(N12="E▲",O12="D7")</formula>
    </cfRule>
    <cfRule type="expression" dxfId="420" priority="386">
      <formula>AND(N12="E▲",O12="D▲")</formula>
    </cfRule>
    <cfRule type="expression" dxfId="419" priority="387">
      <formula>AND(N12="E▲",O12="CO☆")</formula>
    </cfRule>
    <cfRule type="expression" dxfId="418" priority="388">
      <formula>AND(N12="E▲",O12="H5")</formula>
    </cfRule>
    <cfRule type="expression" dxfId="417" priority="389">
      <formula>AND(N12="E▲",O12="M5")</formula>
    </cfRule>
    <cfRule type="expression" dxfId="416" priority="390">
      <formula>AND(N12="E▲",O12="T台")</formula>
    </cfRule>
    <cfRule type="expression" dxfId="415" priority="391">
      <formula>AND(N12="E▲",O12="M台")</formula>
    </cfRule>
    <cfRule type="expression" dxfId="414" priority="392">
      <formula>AND(N12="E▲",O12="D1台")</formula>
    </cfRule>
    <cfRule type="expression" dxfId="413" priority="393">
      <formula>AND(N12="E▲",O12="Y7")</formula>
    </cfRule>
    <cfRule type="expression" dxfId="412" priority="394">
      <formula>AND(N12="E▲",O12="Co辦")</formula>
    </cfRule>
    <cfRule type="expression" dxfId="411" priority="395">
      <formula>AND(N12="E△",O12="A3")</formula>
    </cfRule>
    <cfRule type="expression" dxfId="410" priority="396">
      <formula>AND(N12="E△",O12="I3")</formula>
    </cfRule>
    <cfRule type="expression" dxfId="409" priority="397">
      <formula>AND(N12="E△",O12="D6")</formula>
    </cfRule>
    <cfRule type="expression" dxfId="408" priority="398">
      <formula>AND(N12="E△",O12="D7")</formula>
    </cfRule>
    <cfRule type="expression" dxfId="407" priority="399">
      <formula>AND(N12="E△",O12="D△")</formula>
    </cfRule>
    <cfRule type="expression" dxfId="406" priority="400">
      <formula>AND(N12="E△",O12="D▲")</formula>
    </cfRule>
    <cfRule type="expression" dxfId="405" priority="401">
      <formula>AND(N12="E△",O12="CO☆")</formula>
    </cfRule>
    <cfRule type="expression" dxfId="404" priority="402">
      <formula>AND(N12="E△",O12="H5")</formula>
    </cfRule>
    <cfRule type="expression" dxfId="403" priority="403">
      <formula>AND(N12="E△",O12="M5")</formula>
    </cfRule>
    <cfRule type="expression" dxfId="402" priority="404">
      <formula>AND(N12="E△",O12="T台")</formula>
    </cfRule>
    <cfRule type="expression" dxfId="401" priority="405">
      <formula>AND(N12="E△",O12="M台")</formula>
    </cfRule>
    <cfRule type="expression" dxfId="400" priority="406">
      <formula>AND(N12="E△",O12="D1台")</formula>
    </cfRule>
    <cfRule type="expression" dxfId="399" priority="407">
      <formula>AND(N12="E△",O12="Y7")</formula>
    </cfRule>
    <cfRule type="expression" dxfId="398" priority="408">
      <formula>AND(N12="E△",O12="Co辦")</formula>
    </cfRule>
    <cfRule type="expression" dxfId="397" priority="409">
      <formula>AND(N12="E6",O12="A3")</formula>
    </cfRule>
    <cfRule type="expression" dxfId="396" priority="410">
      <formula>AND(N12="E6",O12="I3")</formula>
    </cfRule>
    <cfRule type="expression" dxfId="395" priority="411">
      <formula>AND(N12="E6",O12="D6")</formula>
    </cfRule>
    <cfRule type="expression" dxfId="394" priority="412">
      <formula>AND(N12="E6",O12="D7")</formula>
    </cfRule>
    <cfRule type="expression" dxfId="393" priority="413">
      <formula>AND(N12="E6",O12="D△")</formula>
    </cfRule>
    <cfRule type="expression" dxfId="392" priority="414">
      <formula>AND(N12="E6",O12="D▲")</formula>
    </cfRule>
    <cfRule type="expression" dxfId="391" priority="415">
      <formula>AND(N12="E6",O12="CO☆")</formula>
    </cfRule>
    <cfRule type="expression" dxfId="390" priority="416">
      <formula>AND(N12="E6",O12="H5")</formula>
    </cfRule>
    <cfRule type="expression" dxfId="389" priority="417">
      <formula>AND(N12="E6",O12="M5")</formula>
    </cfRule>
    <cfRule type="expression" dxfId="388" priority="418">
      <formula>AND(N12="E6",O12="T台")</formula>
    </cfRule>
    <cfRule type="expression" dxfId="387" priority="419">
      <formula>AND(N12="E6",O12="M台")</formula>
    </cfRule>
    <cfRule type="expression" dxfId="386" priority="420">
      <formula>AND(N12="E6",O12="D1台")</formula>
    </cfRule>
    <cfRule type="expression" dxfId="385" priority="421">
      <formula>AND(N12="E6",O12="Y7")</formula>
    </cfRule>
    <cfRule type="expression" dxfId="384" priority="422">
      <formula>AND(N12="E6",O12="Co辦")</formula>
    </cfRule>
    <cfRule type="expression" dxfId="383" priority="423">
      <formula>AND(N12="W7",O12="Co辦")</formula>
    </cfRule>
    <cfRule type="expression" dxfId="382" priority="424">
      <formula>AND(N12="W7",O12="Y7")</formula>
    </cfRule>
    <cfRule type="expression" dxfId="381" priority="425">
      <formula>AND(N12="W7",O12="D1台")</formula>
    </cfRule>
    <cfRule type="expression" dxfId="380" priority="426">
      <formula>AND(N12="W7",O12="M台")</formula>
    </cfRule>
    <cfRule type="expression" dxfId="379" priority="427">
      <formula>AND(N12="W7",O12="T台")</formula>
    </cfRule>
    <cfRule type="expression" dxfId="378" priority="428">
      <formula>AND(N12="W7",O12="M5")</formula>
    </cfRule>
    <cfRule type="expression" dxfId="377" priority="429">
      <formula>AND(N12="W7",O12="H5")</formula>
    </cfRule>
    <cfRule type="expression" dxfId="376" priority="430">
      <formula>AND(N12="W7",O12="CO☆")</formula>
    </cfRule>
    <cfRule type="expression" dxfId="375" priority="431">
      <formula>AND(N12="W7",O12="D▲")</formula>
    </cfRule>
    <cfRule type="expression" dxfId="374" priority="432">
      <formula>AND(N12="W7",O12="D△")</formula>
    </cfRule>
    <cfRule type="expression" dxfId="373" priority="433">
      <formula>AND(N12="W7",O12="D7")</formula>
    </cfRule>
    <cfRule type="expression" dxfId="372" priority="434">
      <formula>AND(N12="W7",O12="D6")</formula>
    </cfRule>
  </conditionalFormatting>
  <conditionalFormatting sqref="O18">
    <cfRule type="expression" dxfId="371" priority="311">
      <formula>AND(N18="W7",O18="P5")</formula>
    </cfRule>
    <cfRule type="expression" dxfId="370" priority="312">
      <formula>AND(N18="E6",O18="P5")</formula>
    </cfRule>
    <cfRule type="expression" dxfId="369" priority="313">
      <formula>AND(N18="E△",O18="P5")</formula>
    </cfRule>
    <cfRule type="expression" dxfId="368" priority="314">
      <formula>AND(N18="E▲",O18="P5")</formula>
    </cfRule>
    <cfRule type="expression" dxfId="367" priority="315">
      <formula>AND(N18="W7",O18="D1☆")</formula>
    </cfRule>
    <cfRule type="expression" dxfId="366" priority="316">
      <formula>AND(N18="E6",O18="D1☆")</formula>
    </cfRule>
    <cfRule type="expression" dxfId="365" priority="317">
      <formula>AND(N18="E△",O18="D1☆")</formula>
    </cfRule>
    <cfRule type="expression" dxfId="364" priority="318">
      <formula>AND(N18="E▲",O18="D1☆")</formula>
    </cfRule>
    <cfRule type="expression" dxfId="363" priority="319">
      <formula>AND(N18="E▲",O18="A3")</formula>
    </cfRule>
    <cfRule type="expression" dxfId="362" priority="320">
      <formula>AND(N18="E▲",O18="I3")</formula>
    </cfRule>
    <cfRule type="expression" dxfId="361" priority="321">
      <formula>AND(N18="E▲",O18="D6")</formula>
    </cfRule>
    <cfRule type="expression" dxfId="360" priority="322">
      <formula>AND(N18="E▲",O18="D△")</formula>
    </cfRule>
    <cfRule type="expression" dxfId="359" priority="323">
      <formula>AND(N18="E▲",O18="D7")</formula>
    </cfRule>
    <cfRule type="expression" dxfId="358" priority="324">
      <formula>AND(N18="E▲",O18="D▲")</formula>
    </cfRule>
    <cfRule type="expression" dxfId="357" priority="325">
      <formula>AND(N18="E▲",O18="CO☆")</formula>
    </cfRule>
    <cfRule type="expression" dxfId="356" priority="326">
      <formula>AND(N18="E▲",O18="H5")</formula>
    </cfRule>
    <cfRule type="expression" dxfId="355" priority="327">
      <formula>AND(N18="E▲",O18="M5")</formula>
    </cfRule>
    <cfRule type="expression" dxfId="354" priority="328">
      <formula>AND(N18="E▲",O18="T台")</formula>
    </cfRule>
    <cfRule type="expression" dxfId="353" priority="329">
      <formula>AND(N18="E▲",O18="M台")</formula>
    </cfRule>
    <cfRule type="expression" dxfId="352" priority="330">
      <formula>AND(N18="E▲",O18="D1台")</formula>
    </cfRule>
    <cfRule type="expression" dxfId="351" priority="331">
      <formula>AND(N18="E▲",O18="Y7")</formula>
    </cfRule>
    <cfRule type="expression" dxfId="350" priority="332">
      <formula>AND(N18="E▲",O18="Co辦")</formula>
    </cfRule>
    <cfRule type="expression" dxfId="349" priority="333">
      <formula>AND(N18="E△",O18="A3")</formula>
    </cfRule>
    <cfRule type="expression" dxfId="348" priority="334">
      <formula>AND(N18="E△",O18="I3")</formula>
    </cfRule>
    <cfRule type="expression" dxfId="347" priority="335">
      <formula>AND(N18="E△",O18="D6")</formula>
    </cfRule>
    <cfRule type="expression" dxfId="346" priority="336">
      <formula>AND(N18="E△",O18="D7")</formula>
    </cfRule>
    <cfRule type="expression" dxfId="345" priority="337">
      <formula>AND(N18="E△",O18="D△")</formula>
    </cfRule>
    <cfRule type="expression" dxfId="344" priority="338">
      <formula>AND(N18="E△",O18="D▲")</formula>
    </cfRule>
    <cfRule type="expression" dxfId="343" priority="339">
      <formula>AND(N18="E△",O18="CO☆")</formula>
    </cfRule>
    <cfRule type="expression" dxfId="342" priority="340">
      <formula>AND(N18="E△",O18="H5")</formula>
    </cfRule>
    <cfRule type="expression" dxfId="341" priority="341">
      <formula>AND(N18="E△",O18="M5")</formula>
    </cfRule>
    <cfRule type="expression" dxfId="340" priority="342">
      <formula>AND(N18="E△",O18="T台")</formula>
    </cfRule>
    <cfRule type="expression" dxfId="339" priority="343">
      <formula>AND(N18="E△",O18="M台")</formula>
    </cfRule>
    <cfRule type="expression" dxfId="338" priority="344">
      <formula>AND(N18="E△",O18="D1台")</formula>
    </cfRule>
    <cfRule type="expression" dxfId="337" priority="345">
      <formula>AND(N18="E△",O18="Y7")</formula>
    </cfRule>
    <cfRule type="expression" dxfId="336" priority="346">
      <formula>AND(N18="E△",O18="Co辦")</formula>
    </cfRule>
    <cfRule type="expression" dxfId="335" priority="347">
      <formula>AND(N18="E6",O18="A3")</formula>
    </cfRule>
    <cfRule type="expression" dxfId="334" priority="348">
      <formula>AND(N18="E6",O18="I3")</formula>
    </cfRule>
    <cfRule type="expression" dxfId="333" priority="349">
      <formula>AND(N18="E6",O18="D6")</formula>
    </cfRule>
    <cfRule type="expression" dxfId="332" priority="350">
      <formula>AND(N18="E6",O18="D7")</formula>
    </cfRule>
    <cfRule type="expression" dxfId="331" priority="351">
      <formula>AND(N18="E6",O18="D△")</formula>
    </cfRule>
    <cfRule type="expression" dxfId="330" priority="352">
      <formula>AND(N18="E6",O18="D▲")</formula>
    </cfRule>
    <cfRule type="expression" dxfId="329" priority="353">
      <formula>AND(N18="E6",O18="CO☆")</formula>
    </cfRule>
    <cfRule type="expression" dxfId="328" priority="354">
      <formula>AND(N18="E6",O18="H5")</formula>
    </cfRule>
    <cfRule type="expression" dxfId="327" priority="355">
      <formula>AND(N18="E6",O18="M5")</formula>
    </cfRule>
    <cfRule type="expression" dxfId="326" priority="356">
      <formula>AND(N18="E6",O18="T台")</formula>
    </cfRule>
    <cfRule type="expression" dxfId="325" priority="357">
      <formula>AND(N18="E6",O18="M台")</formula>
    </cfRule>
    <cfRule type="expression" dxfId="324" priority="358">
      <formula>AND(N18="E6",O18="D1台")</formula>
    </cfRule>
    <cfRule type="expression" dxfId="323" priority="359">
      <formula>AND(N18="E6",O18="Y7")</formula>
    </cfRule>
    <cfRule type="expression" dxfId="322" priority="360">
      <formula>AND(N18="E6",O18="Co辦")</formula>
    </cfRule>
    <cfRule type="expression" dxfId="321" priority="361">
      <formula>AND(N18="W7",O18="Co辦")</formula>
    </cfRule>
    <cfRule type="expression" dxfId="320" priority="362">
      <formula>AND(N18="W7",O18="Y7")</formula>
    </cfRule>
    <cfRule type="expression" dxfId="319" priority="363">
      <formula>AND(N18="W7",O18="D1台")</formula>
    </cfRule>
    <cfRule type="expression" dxfId="318" priority="364">
      <formula>AND(N18="W7",O18="M台")</formula>
    </cfRule>
    <cfRule type="expression" dxfId="317" priority="365">
      <formula>AND(N18="W7",O18="T台")</formula>
    </cfRule>
    <cfRule type="expression" dxfId="316" priority="366">
      <formula>AND(N18="W7",O18="M5")</formula>
    </cfRule>
    <cfRule type="expression" dxfId="315" priority="367">
      <formula>AND(N18="W7",O18="H5")</formula>
    </cfRule>
    <cfRule type="expression" dxfId="314" priority="368">
      <formula>AND(N18="W7",O18="CO☆")</formula>
    </cfRule>
    <cfRule type="expression" dxfId="313" priority="369">
      <formula>AND(N18="W7",O18="D▲")</formula>
    </cfRule>
    <cfRule type="expression" dxfId="312" priority="370">
      <formula>AND(N18="W7",O18="D△")</formula>
    </cfRule>
    <cfRule type="expression" dxfId="311" priority="371">
      <formula>AND(N18="W7",O18="D7")</formula>
    </cfRule>
    <cfRule type="expression" dxfId="310" priority="372">
      <formula>AND(N18="W7",O18="D6")</formula>
    </cfRule>
  </conditionalFormatting>
  <conditionalFormatting sqref="O19">
    <cfRule type="expression" dxfId="309" priority="249">
      <formula>AND(N19="W7",O19="P5")</formula>
    </cfRule>
    <cfRule type="expression" dxfId="308" priority="250">
      <formula>AND(N19="E6",O19="P5")</formula>
    </cfRule>
    <cfRule type="expression" dxfId="307" priority="251">
      <formula>AND(N19="E△",O19="P5")</formula>
    </cfRule>
    <cfRule type="expression" dxfId="306" priority="252">
      <formula>AND(N19="E▲",O19="P5")</formula>
    </cfRule>
    <cfRule type="expression" dxfId="305" priority="253">
      <formula>AND(N19="W7",O19="D1☆")</formula>
    </cfRule>
    <cfRule type="expression" dxfId="304" priority="254">
      <formula>AND(N19="E6",O19="D1☆")</formula>
    </cfRule>
    <cfRule type="expression" dxfId="303" priority="255">
      <formula>AND(N19="E△",O19="D1☆")</formula>
    </cfRule>
    <cfRule type="expression" dxfId="302" priority="256">
      <formula>AND(N19="E▲",O19="D1☆")</formula>
    </cfRule>
    <cfRule type="expression" dxfId="301" priority="257">
      <formula>AND(N19="E▲",O19="A3")</formula>
    </cfRule>
    <cfRule type="expression" dxfId="300" priority="258">
      <formula>AND(N19="E▲",O19="I3")</formula>
    </cfRule>
    <cfRule type="expression" dxfId="299" priority="259">
      <formula>AND(N19="E▲",O19="D6")</formula>
    </cfRule>
    <cfRule type="expression" dxfId="298" priority="260">
      <formula>AND(N19="E▲",O19="D△")</formula>
    </cfRule>
    <cfRule type="expression" dxfId="297" priority="261">
      <formula>AND(N19="E▲",O19="D7")</formula>
    </cfRule>
    <cfRule type="expression" dxfId="296" priority="262">
      <formula>AND(N19="E▲",O19="D▲")</formula>
    </cfRule>
    <cfRule type="expression" dxfId="295" priority="263">
      <formula>AND(N19="E▲",O19="CO☆")</formula>
    </cfRule>
    <cfRule type="expression" dxfId="294" priority="264">
      <formula>AND(N19="E▲",O19="H5")</formula>
    </cfRule>
    <cfRule type="expression" dxfId="293" priority="265">
      <formula>AND(N19="E▲",O19="M5")</formula>
    </cfRule>
    <cfRule type="expression" dxfId="292" priority="266">
      <formula>AND(N19="E▲",O19="T台")</formula>
    </cfRule>
    <cfRule type="expression" dxfId="291" priority="267">
      <formula>AND(N19="E▲",O19="M台")</formula>
    </cfRule>
    <cfRule type="expression" dxfId="290" priority="268">
      <formula>AND(N19="E▲",O19="D1台")</formula>
    </cfRule>
    <cfRule type="expression" dxfId="289" priority="269">
      <formula>AND(N19="E▲",O19="Y7")</formula>
    </cfRule>
    <cfRule type="expression" dxfId="288" priority="270">
      <formula>AND(N19="E▲",O19="Co辦")</formula>
    </cfRule>
    <cfRule type="expression" dxfId="287" priority="271">
      <formula>AND(N19="E△",O19="A3")</formula>
    </cfRule>
    <cfRule type="expression" dxfId="286" priority="272">
      <formula>AND(N19="E△",O19="I3")</formula>
    </cfRule>
    <cfRule type="expression" dxfId="285" priority="273">
      <formula>AND(N19="E△",O19="D6")</formula>
    </cfRule>
    <cfRule type="expression" dxfId="284" priority="274">
      <formula>AND(N19="E△",O19="D7")</formula>
    </cfRule>
    <cfRule type="expression" dxfId="283" priority="275">
      <formula>AND(N19="E△",O19="D△")</formula>
    </cfRule>
    <cfRule type="expression" dxfId="282" priority="276">
      <formula>AND(N19="E△",O19="D▲")</formula>
    </cfRule>
    <cfRule type="expression" dxfId="281" priority="277">
      <formula>AND(N19="E△",O19="CO☆")</formula>
    </cfRule>
    <cfRule type="expression" dxfId="280" priority="278">
      <formula>AND(N19="E△",O19="H5")</formula>
    </cfRule>
    <cfRule type="expression" dxfId="279" priority="279">
      <formula>AND(N19="E△",O19="M5")</formula>
    </cfRule>
    <cfRule type="expression" dxfId="278" priority="280">
      <formula>AND(N19="E△",O19="T台")</formula>
    </cfRule>
    <cfRule type="expression" dxfId="277" priority="281">
      <formula>AND(N19="E△",O19="M台")</formula>
    </cfRule>
    <cfRule type="expression" dxfId="276" priority="282">
      <formula>AND(N19="E△",O19="D1台")</formula>
    </cfRule>
    <cfRule type="expression" dxfId="275" priority="283">
      <formula>AND(N19="E△",O19="Y7")</formula>
    </cfRule>
    <cfRule type="expression" dxfId="274" priority="284">
      <formula>AND(N19="E△",O19="Co辦")</formula>
    </cfRule>
    <cfRule type="expression" dxfId="273" priority="285">
      <formula>AND(N19="E6",O19="A3")</formula>
    </cfRule>
    <cfRule type="expression" dxfId="272" priority="286">
      <formula>AND(N19="E6",O19="I3")</formula>
    </cfRule>
    <cfRule type="expression" dxfId="271" priority="287">
      <formula>AND(N19="E6",O19="D6")</formula>
    </cfRule>
    <cfRule type="expression" dxfId="270" priority="288">
      <formula>AND(N19="E6",O19="D7")</formula>
    </cfRule>
    <cfRule type="expression" dxfId="269" priority="289">
      <formula>AND(N19="E6",O19="D△")</formula>
    </cfRule>
    <cfRule type="expression" dxfId="268" priority="290">
      <formula>AND(N19="E6",O19="D▲")</formula>
    </cfRule>
    <cfRule type="expression" dxfId="267" priority="291">
      <formula>AND(N19="E6",O19="CO☆")</formula>
    </cfRule>
    <cfRule type="expression" dxfId="266" priority="292">
      <formula>AND(N19="E6",O19="H5")</formula>
    </cfRule>
    <cfRule type="expression" dxfId="265" priority="293">
      <formula>AND(N19="E6",O19="M5")</formula>
    </cfRule>
    <cfRule type="expression" dxfId="264" priority="294">
      <formula>AND(N19="E6",O19="T台")</formula>
    </cfRule>
    <cfRule type="expression" dxfId="263" priority="295">
      <formula>AND(N19="E6",O19="M台")</formula>
    </cfRule>
    <cfRule type="expression" dxfId="262" priority="296">
      <formula>AND(N19="E6",O19="D1台")</formula>
    </cfRule>
    <cfRule type="expression" dxfId="261" priority="297">
      <formula>AND(N19="E6",O19="Y7")</formula>
    </cfRule>
    <cfRule type="expression" dxfId="260" priority="298">
      <formula>AND(N19="E6",O19="Co辦")</formula>
    </cfRule>
    <cfRule type="expression" dxfId="259" priority="299">
      <formula>AND(N19="W7",O19="Co辦")</formula>
    </cfRule>
    <cfRule type="expression" dxfId="258" priority="300">
      <formula>AND(N19="W7",O19="Y7")</formula>
    </cfRule>
    <cfRule type="expression" dxfId="257" priority="301">
      <formula>AND(N19="W7",O19="D1台")</formula>
    </cfRule>
    <cfRule type="expression" dxfId="256" priority="302">
      <formula>AND(N19="W7",O19="M台")</formula>
    </cfRule>
    <cfRule type="expression" dxfId="255" priority="303">
      <formula>AND(N19="W7",O19="T台")</formula>
    </cfRule>
    <cfRule type="expression" dxfId="254" priority="304">
      <formula>AND(N19="W7",O19="M5")</formula>
    </cfRule>
    <cfRule type="expression" dxfId="253" priority="305">
      <formula>AND(N19="W7",O19="H5")</formula>
    </cfRule>
    <cfRule type="expression" dxfId="252" priority="306">
      <formula>AND(N19="W7",O19="CO☆")</formula>
    </cfRule>
    <cfRule type="expression" dxfId="251" priority="307">
      <formula>AND(N19="W7",O19="D▲")</formula>
    </cfRule>
    <cfRule type="expression" dxfId="250" priority="308">
      <formula>AND(N19="W7",O19="D△")</formula>
    </cfRule>
    <cfRule type="expression" dxfId="249" priority="309">
      <formula>AND(N19="W7",O19="D7")</formula>
    </cfRule>
    <cfRule type="expression" dxfId="248" priority="310">
      <formula>AND(N19="W7",O19="D6")</formula>
    </cfRule>
  </conditionalFormatting>
  <conditionalFormatting sqref="O21">
    <cfRule type="expression" dxfId="247" priority="187">
      <formula>AND(N21="W7",O21="P5")</formula>
    </cfRule>
    <cfRule type="expression" dxfId="246" priority="188">
      <formula>AND(N21="E6",O21="P5")</formula>
    </cfRule>
    <cfRule type="expression" dxfId="245" priority="189">
      <formula>AND(N21="E△",O21="P5")</formula>
    </cfRule>
    <cfRule type="expression" dxfId="244" priority="190">
      <formula>AND(N21="E▲",O21="P5")</formula>
    </cfRule>
    <cfRule type="expression" dxfId="243" priority="191">
      <formula>AND(N21="E▲",O21="D1☆")</formula>
    </cfRule>
    <cfRule type="expression" dxfId="242" priority="192">
      <formula>AND(N21="E△",O21="D1☆")</formula>
    </cfRule>
    <cfRule type="expression" dxfId="241" priority="193">
      <formula>AND(N21="E6",O21="D1☆")</formula>
    </cfRule>
    <cfRule type="expression" dxfId="240" priority="194">
      <formula>AND(N21="W7",O21="D1☆")</formula>
    </cfRule>
    <cfRule type="expression" dxfId="239" priority="195">
      <formula>AND(N21="W7",O21="D6")</formula>
    </cfRule>
    <cfRule type="expression" dxfId="238" priority="196">
      <formula>AND(N21="W7",O21="D7")</formula>
    </cfRule>
    <cfRule type="expression" dxfId="237" priority="197">
      <formula>AND(N21="W7",O21="D△")</formula>
    </cfRule>
    <cfRule type="expression" dxfId="236" priority="198">
      <formula>AND(N21="W7",O21="D▲")</formula>
    </cfRule>
    <cfRule type="expression" dxfId="235" priority="199">
      <formula>AND(N21="W7",O21="CO☆")</formula>
    </cfRule>
    <cfRule type="expression" dxfId="234" priority="200">
      <formula>AND(N21="W7",O21="H5")</formula>
    </cfRule>
    <cfRule type="expression" dxfId="233" priority="201">
      <formula>AND(N21="W7",O21="M5")</formula>
    </cfRule>
    <cfRule type="expression" dxfId="232" priority="202">
      <formula>AND(N21="W7",O21="T台")</formula>
    </cfRule>
    <cfRule type="expression" dxfId="231" priority="203">
      <formula>AND(N21="W7",O21="M台")</formula>
    </cfRule>
    <cfRule type="expression" dxfId="230" priority="204">
      <formula>AND(N21="W7",O21="D1台")</formula>
    </cfRule>
    <cfRule type="expression" dxfId="229" priority="205">
      <formula>AND(N21="W7",O21="Y7")</formula>
    </cfRule>
    <cfRule type="expression" dxfId="228" priority="206">
      <formula>AND(N21="W7",O21="Co辦")</formula>
    </cfRule>
    <cfRule type="expression" dxfId="227" priority="207">
      <formula>AND(N21="E6",O21="Co辦")</formula>
    </cfRule>
    <cfRule type="expression" dxfId="226" priority="208">
      <formula>AND(N21="E6",O21="Y7")</formula>
    </cfRule>
    <cfRule type="expression" dxfId="225" priority="209">
      <formula>AND(N21="E6",O21="D1台")</formula>
    </cfRule>
    <cfRule type="expression" dxfId="224" priority="210">
      <formula>AND(N21="E6",O21="M台")</formula>
    </cfRule>
    <cfRule type="expression" dxfId="223" priority="211">
      <formula>AND(N21="E6",O21="T台")</formula>
    </cfRule>
    <cfRule type="expression" dxfId="222" priority="212">
      <formula>AND(N21="E6",O21="M5")</formula>
    </cfRule>
    <cfRule type="expression" dxfId="221" priority="213">
      <formula>AND(N21="E6",O21="H5")</formula>
    </cfRule>
    <cfRule type="expression" dxfId="220" priority="214">
      <formula>AND(N21="E6",O21="CO☆")</formula>
    </cfRule>
    <cfRule type="expression" dxfId="219" priority="215">
      <formula>AND(N21="E6",O21="D▲")</formula>
    </cfRule>
    <cfRule type="expression" dxfId="218" priority="216">
      <formula>AND(N21="E6",O21="D△")</formula>
    </cfRule>
    <cfRule type="expression" dxfId="217" priority="217">
      <formula>AND(N21="E6",O21="D7")</formula>
    </cfRule>
    <cfRule type="expression" dxfId="216" priority="218">
      <formula>AND(N21="E6",O21="D6")</formula>
    </cfRule>
    <cfRule type="expression" dxfId="215" priority="219">
      <formula>AND(N21="E6",O21="I3")</formula>
    </cfRule>
    <cfRule type="expression" dxfId="214" priority="220">
      <formula>AND(N21="E6",O21="A3")</formula>
    </cfRule>
    <cfRule type="expression" dxfId="213" priority="221">
      <formula>AND(N21="E△",O21="Co辦")</formula>
    </cfRule>
    <cfRule type="expression" dxfId="212" priority="222">
      <formula>AND(N21="E△",O21="Y7")</formula>
    </cfRule>
    <cfRule type="expression" dxfId="211" priority="223">
      <formula>AND(N21="E△",O21="D1台")</formula>
    </cfRule>
    <cfRule type="expression" dxfId="210" priority="224">
      <formula>AND(N21="E△",O21="T台")</formula>
    </cfRule>
    <cfRule type="expression" dxfId="209" priority="225">
      <formula>AND(N21="E△",O21="M台")</formula>
    </cfRule>
    <cfRule type="expression" dxfId="208" priority="226">
      <formula>AND(N21="E△",O21="M5")</formula>
    </cfRule>
    <cfRule type="expression" dxfId="207" priority="227">
      <formula>AND(N21="E△",O21="H5")</formula>
    </cfRule>
    <cfRule type="expression" dxfId="206" priority="228">
      <formula>AND(N21="E△",O21="CO☆")</formula>
    </cfRule>
    <cfRule type="expression" dxfId="205" priority="229">
      <formula>AND(N21="E△",O21="D▲")</formula>
    </cfRule>
    <cfRule type="expression" dxfId="204" priority="230">
      <formula>AND(N21="E△",O21="D△")</formula>
    </cfRule>
    <cfRule type="expression" dxfId="203" priority="231">
      <formula>AND(N21="E△",O21="D7")</formula>
    </cfRule>
    <cfRule type="expression" dxfId="202" priority="232">
      <formula>AND(N21="E△",O21="I3")</formula>
    </cfRule>
    <cfRule type="expression" dxfId="201" priority="233">
      <formula>AND(N21="E△",O21="D6")</formula>
    </cfRule>
    <cfRule type="expression" dxfId="200" priority="234">
      <formula>AND(N21="E△",O21="A3")</formula>
    </cfRule>
    <cfRule type="expression" dxfId="199" priority="235">
      <formula>AND(N21="E▲",O21="Co辦")</formula>
    </cfRule>
    <cfRule type="expression" dxfId="198" priority="236">
      <formula>AND(N21="E▲",O21="Y7")</formula>
    </cfRule>
    <cfRule type="expression" dxfId="197" priority="237">
      <formula>AND(N21="E▲",O21="D1台")</formula>
    </cfRule>
    <cfRule type="expression" dxfId="196" priority="238">
      <formula>AND(N21="E▲",O21="M台")</formula>
    </cfRule>
    <cfRule type="expression" dxfId="195" priority="239">
      <formula>AND(N21="E▲",O21="T台")</formula>
    </cfRule>
    <cfRule type="expression" dxfId="194" priority="240">
      <formula>AND(N21="E▲",O21="M5")</formula>
    </cfRule>
    <cfRule type="expression" dxfId="193" priority="241">
      <formula>AND(N21="E▲",O21="H5")</formula>
    </cfRule>
    <cfRule type="expression" dxfId="192" priority="242">
      <formula>AND(N21="E▲",O21="CO☆")</formula>
    </cfRule>
    <cfRule type="expression" dxfId="191" priority="243">
      <formula>AND(N21="E▲",O21="D▲")</formula>
    </cfRule>
    <cfRule type="expression" dxfId="190" priority="244">
      <formula>AND(N21="E▲",O21="D7")</formula>
    </cfRule>
    <cfRule type="expression" dxfId="189" priority="245">
      <formula>AND(N21="E▲",O21="D△")</formula>
    </cfRule>
    <cfRule type="expression" dxfId="188" priority="246">
      <formula>AND(N21="E▲",O21="D6")</formula>
    </cfRule>
    <cfRule type="expression" dxfId="187" priority="247">
      <formula>AND(N21="E▲",O21="I3")</formula>
    </cfRule>
    <cfRule type="expression" dxfId="186" priority="248">
      <formula>AND(N21="E▲",O21="A3")</formula>
    </cfRule>
  </conditionalFormatting>
  <conditionalFormatting sqref="O21">
    <cfRule type="expression" dxfId="185" priority="125">
      <formula>AND(N21="W7",O21="P5")</formula>
    </cfRule>
    <cfRule type="expression" dxfId="184" priority="126">
      <formula>AND(N21="E6",O21="P5")</formula>
    </cfRule>
    <cfRule type="expression" dxfId="183" priority="127">
      <formula>AND(N21="E△",O21="P5")</formula>
    </cfRule>
    <cfRule type="expression" dxfId="182" priority="128">
      <formula>AND(N21="E▲",O21="P5")</formula>
    </cfRule>
    <cfRule type="expression" dxfId="181" priority="129">
      <formula>AND(N21="W7",O21="D1☆")</formula>
    </cfRule>
    <cfRule type="expression" dxfId="180" priority="130">
      <formula>AND(N21="E6",O21="D1☆")</formula>
    </cfRule>
    <cfRule type="expression" dxfId="179" priority="131">
      <formula>AND(N21="E△",O21="D1☆")</formula>
    </cfRule>
    <cfRule type="expression" dxfId="178" priority="132">
      <formula>AND(N21="E▲",O21="D1☆")</formula>
    </cfRule>
    <cfRule type="expression" dxfId="177" priority="133">
      <formula>AND(N21="E▲",O21="A3")</formula>
    </cfRule>
    <cfRule type="expression" dxfId="176" priority="134">
      <formula>AND(N21="E▲",O21="I3")</formula>
    </cfRule>
    <cfRule type="expression" dxfId="175" priority="135">
      <formula>AND(N21="E▲",O21="D6")</formula>
    </cfRule>
    <cfRule type="expression" dxfId="174" priority="136">
      <formula>AND(N21="E▲",O21="D△")</formula>
    </cfRule>
    <cfRule type="expression" dxfId="173" priority="137">
      <formula>AND(N21="E▲",O21="D7")</formula>
    </cfRule>
    <cfRule type="expression" dxfId="172" priority="138">
      <formula>AND(N21="E▲",O21="D▲")</formula>
    </cfRule>
    <cfRule type="expression" dxfId="171" priority="139">
      <formula>AND(N21="E▲",O21="CO☆")</formula>
    </cfRule>
    <cfRule type="expression" dxfId="170" priority="140">
      <formula>AND(N21="E▲",O21="H5")</formula>
    </cfRule>
    <cfRule type="expression" dxfId="169" priority="141">
      <formula>AND(N21="E▲",O21="M5")</formula>
    </cfRule>
    <cfRule type="expression" dxfId="168" priority="142">
      <formula>AND(N21="E▲",O21="T台")</formula>
    </cfRule>
    <cfRule type="expression" dxfId="167" priority="143">
      <formula>AND(N21="E▲",O21="M台")</formula>
    </cfRule>
    <cfRule type="expression" dxfId="166" priority="144">
      <formula>AND(N21="E▲",O21="D1台")</formula>
    </cfRule>
    <cfRule type="expression" dxfId="165" priority="145">
      <formula>AND(N21="E▲",O21="Y7")</formula>
    </cfRule>
    <cfRule type="expression" dxfId="164" priority="146">
      <formula>AND(N21="E▲",O21="Co辦")</formula>
    </cfRule>
    <cfRule type="expression" dxfId="163" priority="147">
      <formula>AND(N21="E△",O21="A3")</formula>
    </cfRule>
    <cfRule type="expression" dxfId="162" priority="148">
      <formula>AND(N21="E△",O21="I3")</formula>
    </cfRule>
    <cfRule type="expression" dxfId="161" priority="149">
      <formula>AND(N21="E△",O21="D6")</formula>
    </cfRule>
    <cfRule type="expression" dxfId="160" priority="150">
      <formula>AND(N21="E△",O21="D7")</formula>
    </cfRule>
    <cfRule type="expression" dxfId="159" priority="151">
      <formula>AND(N21="E△",O21="D△")</formula>
    </cfRule>
    <cfRule type="expression" dxfId="158" priority="152">
      <formula>AND(N21="E△",O21="D▲")</formula>
    </cfRule>
    <cfRule type="expression" dxfId="157" priority="153">
      <formula>AND(N21="E△",O21="CO☆")</formula>
    </cfRule>
    <cfRule type="expression" dxfId="156" priority="154">
      <formula>AND(N21="E△",O21="H5")</formula>
    </cfRule>
    <cfRule type="expression" dxfId="155" priority="155">
      <formula>AND(N21="E△",O21="M5")</formula>
    </cfRule>
    <cfRule type="expression" dxfId="154" priority="156">
      <formula>AND(N21="E△",O21="T台")</formula>
    </cfRule>
    <cfRule type="expression" dxfId="153" priority="157">
      <formula>AND(N21="E△",O21="M台")</formula>
    </cfRule>
    <cfRule type="expression" dxfId="152" priority="158">
      <formula>AND(N21="E△",O21="D1台")</formula>
    </cfRule>
    <cfRule type="expression" dxfId="151" priority="159">
      <formula>AND(N21="E△",O21="Y7")</formula>
    </cfRule>
    <cfRule type="expression" dxfId="150" priority="160">
      <formula>AND(N21="E△",O21="Co辦")</formula>
    </cfRule>
    <cfRule type="expression" dxfId="149" priority="161">
      <formula>AND(N21="E6",O21="A3")</formula>
    </cfRule>
    <cfRule type="expression" dxfId="148" priority="162">
      <formula>AND(N21="E6",O21="I3")</formula>
    </cfRule>
    <cfRule type="expression" dxfId="147" priority="163">
      <formula>AND(N21="E6",O21="D6")</formula>
    </cfRule>
    <cfRule type="expression" dxfId="146" priority="164">
      <formula>AND(N21="E6",O21="D7")</formula>
    </cfRule>
    <cfRule type="expression" dxfId="145" priority="165">
      <formula>AND(N21="E6",O21="D△")</formula>
    </cfRule>
    <cfRule type="expression" dxfId="144" priority="166">
      <formula>AND(N21="E6",O21="D▲")</formula>
    </cfRule>
    <cfRule type="expression" dxfId="143" priority="167">
      <formula>AND(N21="E6",O21="CO☆")</formula>
    </cfRule>
    <cfRule type="expression" dxfId="142" priority="168">
      <formula>AND(N21="E6",O21="H5")</formula>
    </cfRule>
    <cfRule type="expression" dxfId="141" priority="169">
      <formula>AND(N21="E6",O21="M5")</formula>
    </cfRule>
    <cfRule type="expression" dxfId="140" priority="170">
      <formula>AND(N21="E6",O21="T台")</formula>
    </cfRule>
    <cfRule type="expression" dxfId="139" priority="171">
      <formula>AND(N21="E6",O21="M台")</formula>
    </cfRule>
    <cfRule type="expression" dxfId="138" priority="172">
      <formula>AND(N21="E6",O21="D1台")</formula>
    </cfRule>
    <cfRule type="expression" dxfId="137" priority="173">
      <formula>AND(N21="E6",O21="Y7")</formula>
    </cfRule>
    <cfRule type="expression" dxfId="136" priority="174">
      <formula>AND(N21="E6",O21="Co辦")</formula>
    </cfRule>
    <cfRule type="expression" dxfId="135" priority="175">
      <formula>AND(N21="W7",O21="Co辦")</formula>
    </cfRule>
    <cfRule type="expression" dxfId="134" priority="176">
      <formula>AND(N21="W7",O21="Y7")</formula>
    </cfRule>
    <cfRule type="expression" dxfId="133" priority="177">
      <formula>AND(N21="W7",O21="D1台")</formula>
    </cfRule>
    <cfRule type="expression" dxfId="132" priority="178">
      <formula>AND(N21="W7",O21="M台")</formula>
    </cfRule>
    <cfRule type="expression" dxfId="131" priority="179">
      <formula>AND(N21="W7",O21="T台")</formula>
    </cfRule>
    <cfRule type="expression" dxfId="130" priority="180">
      <formula>AND(N21="W7",O21="M5")</formula>
    </cfRule>
    <cfRule type="expression" dxfId="129" priority="181">
      <formula>AND(N21="W7",O21="H5")</formula>
    </cfRule>
    <cfRule type="expression" dxfId="128" priority="182">
      <formula>AND(N21="W7",O21="CO☆")</formula>
    </cfRule>
    <cfRule type="expression" dxfId="127" priority="183">
      <formula>AND(N21="W7",O21="D▲")</formula>
    </cfRule>
    <cfRule type="expression" dxfId="126" priority="184">
      <formula>AND(N21="W7",O21="D△")</formula>
    </cfRule>
    <cfRule type="expression" dxfId="125" priority="185">
      <formula>AND(N21="W7",O21="D7")</formula>
    </cfRule>
    <cfRule type="expression" dxfId="124" priority="186">
      <formula>AND(N21="W7",O21="D6")</formula>
    </cfRule>
  </conditionalFormatting>
  <conditionalFormatting sqref="O25">
    <cfRule type="expression" dxfId="123" priority="63">
      <formula>AND(N25="W7",O25="P5")</formula>
    </cfRule>
    <cfRule type="expression" dxfId="122" priority="64">
      <formula>AND(N25="E6",O25="P5")</formula>
    </cfRule>
    <cfRule type="expression" dxfId="121" priority="65">
      <formula>AND(N25="E△",O25="P5")</formula>
    </cfRule>
    <cfRule type="expression" dxfId="120" priority="66">
      <formula>AND(N25="E▲",O25="P5")</formula>
    </cfRule>
    <cfRule type="expression" dxfId="119" priority="67">
      <formula>AND(N25="E▲",O25="D1☆")</formula>
    </cfRule>
    <cfRule type="expression" dxfId="118" priority="68">
      <formula>AND(N25="E△",O25="D1☆")</formula>
    </cfRule>
    <cfRule type="expression" dxfId="117" priority="69">
      <formula>AND(N25="E",O25="D1☆")</formula>
    </cfRule>
    <cfRule type="expression" dxfId="116" priority="70">
      <formula>AND(N25="W6",O25="D1☆")</formula>
    </cfRule>
    <cfRule type="expression" dxfId="115" priority="71">
      <formula>AND(N25="W6",O25="D")</formula>
    </cfRule>
    <cfRule type="expression" dxfId="114" priority="72">
      <formula>AND(N25="W6",O25="Dx")</formula>
    </cfRule>
    <cfRule type="expression" dxfId="113" priority="73">
      <formula>AND(N25="W6",O25="D△")</formula>
    </cfRule>
    <cfRule type="expression" dxfId="112" priority="74">
      <formula>AND(N25="W6",O25="D▲")</formula>
    </cfRule>
    <cfRule type="expression" dxfId="111" priority="75">
      <formula>AND(N25="W6",O25="CO☆")</formula>
    </cfRule>
    <cfRule type="expression" dxfId="110" priority="76">
      <formula>AND(N25="W6",O25="H7")</formula>
    </cfRule>
    <cfRule type="expression" dxfId="109" priority="77">
      <formula>AND(N25="W6",O25="M7")</formula>
    </cfRule>
    <cfRule type="expression" dxfId="108" priority="78">
      <formula>AND(N25="W6",O25="T台")</formula>
    </cfRule>
    <cfRule type="expression" dxfId="107" priority="79">
      <formula>AND(N25="W6",O25="M台")</formula>
    </cfRule>
    <cfRule type="expression" dxfId="106" priority="80">
      <formula>AND(N25="W6",O25="D1台")</formula>
    </cfRule>
    <cfRule type="expression" dxfId="105" priority="81">
      <formula>AND(N25="W6",O25="Y6")</formula>
    </cfRule>
    <cfRule type="expression" dxfId="104" priority="82">
      <formula>AND(N25="W6",O25="Co辦")</formula>
    </cfRule>
    <cfRule type="expression" dxfId="103" priority="83">
      <formula>AND(N25="E",O25="Co辦")</formula>
    </cfRule>
    <cfRule type="expression" dxfId="102" priority="84">
      <formula>AND(N25="E",O25="Y6")</formula>
    </cfRule>
    <cfRule type="expression" dxfId="101" priority="85">
      <formula>AND(N25="E",O25="D1台")</formula>
    </cfRule>
    <cfRule type="expression" dxfId="100" priority="86">
      <formula>AND(N25="E",O25="M台")</formula>
    </cfRule>
    <cfRule type="expression" dxfId="99" priority="87">
      <formula>AND(N25="E",O25="T台")</formula>
    </cfRule>
    <cfRule type="expression" dxfId="98" priority="88">
      <formula>AND(N25="E",O25="M7")</formula>
    </cfRule>
    <cfRule type="expression" dxfId="97" priority="89">
      <formula>AND(N25="E",O25="H7")</formula>
    </cfRule>
    <cfRule type="expression" dxfId="96" priority="90">
      <formula>AND(N25="E",O25="CO☆")</formula>
    </cfRule>
    <cfRule type="expression" dxfId="95" priority="91">
      <formula>AND(N25="E",O25="D▲")</formula>
    </cfRule>
    <cfRule type="expression" dxfId="94" priority="92">
      <formula>AND(N25="E",O25="D△")</formula>
    </cfRule>
    <cfRule type="expression" dxfId="93" priority="93">
      <formula>AND(N25="E",O25="Dx")</formula>
    </cfRule>
    <cfRule type="expression" dxfId="92" priority="94">
      <formula>AND(N25="E",O25="D")</formula>
    </cfRule>
    <cfRule type="expression" dxfId="91" priority="95">
      <formula>AND(N25="E",O25="I3")</formula>
    </cfRule>
    <cfRule type="expression" dxfId="90" priority="96">
      <formula>AND(N25="E",O25="A")</formula>
    </cfRule>
    <cfRule type="expression" dxfId="89" priority="97">
      <formula>AND(N25="E△",O25="Co辦")</formula>
    </cfRule>
    <cfRule type="expression" dxfId="88" priority="98">
      <formula>AND(N25="E△",O25="Y6")</formula>
    </cfRule>
    <cfRule type="expression" dxfId="87" priority="99">
      <formula>AND(N25="E△",O25="D1台")</formula>
    </cfRule>
    <cfRule type="expression" dxfId="86" priority="100">
      <formula>AND(N25="E△",O25="M台")</formula>
    </cfRule>
    <cfRule type="expression" dxfId="85" priority="101">
      <formula>AND(N25="E△",O25="T台")</formula>
    </cfRule>
    <cfRule type="expression" dxfId="84" priority="102">
      <formula>AND(N25="E△",O25="M7")</formula>
    </cfRule>
    <cfRule type="expression" dxfId="83" priority="103">
      <formula>AND(N25="E△",O25="H7")</formula>
    </cfRule>
    <cfRule type="expression" dxfId="82" priority="104">
      <formula>AND(N25="E△",O25="CO☆")</formula>
    </cfRule>
    <cfRule type="expression" dxfId="81" priority="105">
      <formula>AND(N25="E△",O25="D▲")</formula>
    </cfRule>
    <cfRule type="expression" dxfId="80" priority="106">
      <formula>AND(N25="E△",O25="D△")</formula>
    </cfRule>
    <cfRule type="expression" dxfId="79" priority="107">
      <formula>AND(N25="E△",O25="Dx")</formula>
    </cfRule>
    <cfRule type="expression" dxfId="78" priority="108">
      <formula>AND(N25="E△",O25="I3")</formula>
    </cfRule>
    <cfRule type="expression" dxfId="77" priority="109">
      <formula>AND(N25="E△",O25="A")</formula>
    </cfRule>
    <cfRule type="expression" dxfId="76" priority="110">
      <formula>AND(N25="E△",O25="D")</formula>
    </cfRule>
    <cfRule type="expression" dxfId="75" priority="111">
      <formula>AND(N25="E▲",O25="D1台")</formula>
    </cfRule>
    <cfRule type="expression" dxfId="74" priority="112">
      <formula>AND(N25="E▲",O25="Co辦")</formula>
    </cfRule>
    <cfRule type="expression" dxfId="73" priority="113">
      <formula>AND(N25="E▲",O25="Y6")</formula>
    </cfRule>
    <cfRule type="expression" dxfId="72" priority="114">
      <formula>AND(N25="E▲",O25="M台")</formula>
    </cfRule>
    <cfRule type="expression" dxfId="71" priority="115">
      <formula>AND(N25="E▲",O25="T台")</formula>
    </cfRule>
    <cfRule type="expression" dxfId="70" priority="116">
      <formula>AND(N25="E▲",O25="M7")</formula>
    </cfRule>
    <cfRule type="expression" dxfId="69" priority="117">
      <formula>AND(N25="E▲",O25="H7")</formula>
    </cfRule>
    <cfRule type="expression" dxfId="68" priority="118">
      <formula>AND(N25="E▲",O25="CO☆")</formula>
    </cfRule>
    <cfRule type="expression" dxfId="67" priority="119">
      <formula>AND(N25="E▲",O25="D▲")</formula>
    </cfRule>
    <cfRule type="expression" dxfId="66" priority="120">
      <formula>AND(N25="E▲",O25="D△")</formula>
    </cfRule>
    <cfRule type="expression" dxfId="65" priority="121">
      <formula>AND(N25="E▲",O25="Dx")</formula>
    </cfRule>
    <cfRule type="expression" dxfId="64" priority="122">
      <formula>AND(N25="E▲",O25="D")</formula>
    </cfRule>
    <cfRule type="expression" dxfId="63" priority="123">
      <formula>AND(N25="E▲",O25="I3")</formula>
    </cfRule>
    <cfRule type="expression" dxfId="62" priority="124">
      <formula>AND(N25="E▲",O25="A")</formula>
    </cfRule>
  </conditionalFormatting>
  <conditionalFormatting sqref="O25">
    <cfRule type="expression" dxfId="61" priority="1">
      <formula>AND(N25="W7",O25="P5")</formula>
    </cfRule>
    <cfRule type="expression" dxfId="60" priority="2">
      <formula>AND(N25="E6",O25="P5")</formula>
    </cfRule>
    <cfRule type="expression" dxfId="59" priority="3">
      <formula>AND(N25="E△",O25="P5")</formula>
    </cfRule>
    <cfRule type="expression" dxfId="58" priority="4">
      <formula>AND(N25="E▲",O25="P5")</formula>
    </cfRule>
    <cfRule type="expression" dxfId="57" priority="5">
      <formula>AND(N25="E▲",O25="D1☆")</formula>
    </cfRule>
    <cfRule type="expression" dxfId="56" priority="6">
      <formula>AND(N25="E△",O25="D1☆")</formula>
    </cfRule>
    <cfRule type="expression" dxfId="55" priority="7">
      <formula>AND(N25="E6",O25="D1☆")</formula>
    </cfRule>
    <cfRule type="expression" dxfId="54" priority="8">
      <formula>AND(N25="W7",O25="D1☆")</formula>
    </cfRule>
    <cfRule type="expression" dxfId="53" priority="9">
      <formula>AND(N25="W7",O25="D6")</formula>
    </cfRule>
    <cfRule type="expression" dxfId="52" priority="10">
      <formula>AND(N25="W7",O25="D7")</formula>
    </cfRule>
    <cfRule type="expression" dxfId="51" priority="11">
      <formula>AND(N25="W7",O25="D△")</formula>
    </cfRule>
    <cfRule type="expression" dxfId="50" priority="12">
      <formula>AND(N25="W7",O25="D▲")</formula>
    </cfRule>
    <cfRule type="expression" dxfId="49" priority="13">
      <formula>AND(N25="W7",O25="CO☆")</formula>
    </cfRule>
    <cfRule type="expression" dxfId="48" priority="14">
      <formula>AND(N25="W7",O25="H5")</formula>
    </cfRule>
    <cfRule type="expression" dxfId="47" priority="15">
      <formula>AND(N25="W7",O25="M5")</formula>
    </cfRule>
    <cfRule type="expression" dxfId="46" priority="16">
      <formula>AND(N25="W7",O25="T台")</formula>
    </cfRule>
    <cfRule type="expression" dxfId="45" priority="17">
      <formula>AND(N25="W7",O25="M台")</formula>
    </cfRule>
    <cfRule type="expression" dxfId="44" priority="18">
      <formula>AND(N25="W7",O25="D1台")</formula>
    </cfRule>
    <cfRule type="expression" dxfId="43" priority="19">
      <formula>AND(N25="W7",O25="Y7")</formula>
    </cfRule>
    <cfRule type="expression" dxfId="42" priority="20">
      <formula>AND(N25="W7",O25="Co辦")</formula>
    </cfRule>
    <cfRule type="expression" dxfId="41" priority="21">
      <formula>AND(N25="E6",O25="Co辦")</formula>
    </cfRule>
    <cfRule type="expression" dxfId="40" priority="22">
      <formula>AND(N25="E6",O25="Y7")</formula>
    </cfRule>
    <cfRule type="expression" dxfId="39" priority="23">
      <formula>AND(N25="E6",O25="D1台")</formula>
    </cfRule>
    <cfRule type="expression" dxfId="38" priority="24">
      <formula>AND(N25="E6",O25="M台")</formula>
    </cfRule>
    <cfRule type="expression" dxfId="37" priority="25">
      <formula>AND(N25="E6",O25="T台")</formula>
    </cfRule>
    <cfRule type="expression" dxfId="36" priority="26">
      <formula>AND(N25="E6",O25="M5")</formula>
    </cfRule>
    <cfRule type="expression" dxfId="35" priority="27">
      <formula>AND(N25="E6",O25="H5")</formula>
    </cfRule>
    <cfRule type="expression" dxfId="34" priority="28">
      <formula>AND(N25="E6",O25="CO☆")</formula>
    </cfRule>
    <cfRule type="expression" dxfId="33" priority="29">
      <formula>AND(N25="E6",O25="D▲")</formula>
    </cfRule>
    <cfRule type="expression" dxfId="32" priority="30">
      <formula>AND(N25="E6",O25="D△")</formula>
    </cfRule>
    <cfRule type="expression" dxfId="31" priority="31">
      <formula>AND(N25="E6",O25="D7")</formula>
    </cfRule>
    <cfRule type="expression" dxfId="30" priority="32">
      <formula>AND(N25="E6",O25="D6")</formula>
    </cfRule>
    <cfRule type="expression" dxfId="29" priority="33">
      <formula>AND(N25="E6",O25="I3")</formula>
    </cfRule>
    <cfRule type="expression" dxfId="28" priority="34">
      <formula>AND(N25="E6",O25="A3")</formula>
    </cfRule>
    <cfRule type="expression" dxfId="27" priority="35">
      <formula>AND(N25="E△",O25="Co辦")</formula>
    </cfRule>
    <cfRule type="expression" dxfId="26" priority="36">
      <formula>AND(N25="E△",O25="Y7")</formula>
    </cfRule>
    <cfRule type="expression" dxfId="25" priority="37">
      <formula>AND(N25="E△",O25="D1台")</formula>
    </cfRule>
    <cfRule type="expression" dxfId="24" priority="38">
      <formula>AND(N25="E△",O25="M台")</formula>
    </cfRule>
    <cfRule type="expression" dxfId="23" priority="39">
      <formula>AND(N25="E△",O25="T台")</formula>
    </cfRule>
    <cfRule type="expression" dxfId="22" priority="40">
      <formula>AND(N25="E△",O25="M5")</formula>
    </cfRule>
    <cfRule type="expression" dxfId="21" priority="41">
      <formula>AND(N25="E△",O25="H5")</formula>
    </cfRule>
    <cfRule type="expression" dxfId="20" priority="42">
      <formula>AND(N25="E△",O25="CO☆")</formula>
    </cfRule>
    <cfRule type="expression" dxfId="19" priority="43">
      <formula>AND(N25="E△",O25="D▲")</formula>
    </cfRule>
    <cfRule type="expression" dxfId="18" priority="44">
      <formula>AND(N25="E△",O25="D△")</formula>
    </cfRule>
    <cfRule type="expression" dxfId="17" priority="45">
      <formula>AND(N25="E△",O25="D7")</formula>
    </cfRule>
    <cfRule type="expression" dxfId="16" priority="46">
      <formula>AND(N25="E△",O25="D6")</formula>
    </cfRule>
    <cfRule type="expression" dxfId="15" priority="47">
      <formula>AND(N25="E△",O25="I3")</formula>
    </cfRule>
    <cfRule type="expression" dxfId="14" priority="48">
      <formula>AND(N25="E△",O25="A3")</formula>
    </cfRule>
    <cfRule type="expression" dxfId="13" priority="49">
      <formula>AND(N25="E▲",O25="Co辦")</formula>
    </cfRule>
    <cfRule type="expression" dxfId="12" priority="50">
      <formula>AND(N25="E▲",O25="Y7")</formula>
    </cfRule>
    <cfRule type="expression" dxfId="11" priority="51">
      <formula>AND(N25="E▲",O25="D1台")</formula>
    </cfRule>
    <cfRule type="expression" dxfId="10" priority="52">
      <formula>AND(N25="E▲",O25="M台")</formula>
    </cfRule>
    <cfRule type="expression" dxfId="9" priority="53">
      <formula>AND(N25="E▲",O25="T台")</formula>
    </cfRule>
    <cfRule type="expression" dxfId="8" priority="54">
      <formula>AND(N25="E▲",O25="M5")</formula>
    </cfRule>
    <cfRule type="expression" dxfId="7" priority="55">
      <formula>AND(N25="E▲",O25="H7")</formula>
    </cfRule>
    <cfRule type="expression" dxfId="6" priority="56">
      <formula>AND(N25="E▲",O25="CO☆")</formula>
    </cfRule>
    <cfRule type="expression" dxfId="5" priority="57">
      <formula>AND(N25="E▲",O25="D▲")</formula>
    </cfRule>
    <cfRule type="expression" dxfId="4" priority="58">
      <formula>AND(N25="E▲",O25="D△")</formula>
    </cfRule>
    <cfRule type="expression" dxfId="3" priority="59">
      <formula>AND(N25="E▲",O25="D7")</formula>
    </cfRule>
    <cfRule type="expression" dxfId="2" priority="60">
      <formula>AND(N25="E▲",O25="D6")</formula>
    </cfRule>
    <cfRule type="expression" dxfId="1" priority="61">
      <formula>AND(N25="E▲",O25="I3")</formula>
    </cfRule>
    <cfRule type="expression" dxfId="0" priority="62">
      <formula>AND(N25="E▲",O25="A3")</formula>
    </cfRule>
  </conditionalFormatting>
  <pageMargins left="0" right="0" top="0.39370078740157483" bottom="0.39370078740157483" header="0.31496062992125984" footer="0.31496062992125984"/>
  <pageSetup paperSize="9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4</xdr:col>
                    <xdr:colOff>10886</xdr:colOff>
                    <xdr:row>4</xdr:row>
                    <xdr:rowOff>48986</xdr:rowOff>
                  </from>
                  <to>
                    <xdr:col>5</xdr:col>
                    <xdr:colOff>0</xdr:colOff>
                    <xdr:row>5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8</xdr:col>
                    <xdr:colOff>0</xdr:colOff>
                    <xdr:row>4</xdr:row>
                    <xdr:rowOff>48986</xdr:rowOff>
                  </from>
                  <to>
                    <xdr:col>9</xdr:col>
                    <xdr:colOff>0</xdr:colOff>
                    <xdr:row>4</xdr:row>
                    <xdr:rowOff>332014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" name="Button 77">
              <controlPr defaultSize="0" print="0" autoFill="0" autoPict="0" macro="[0]!清除內容">
                <anchor moveWithCells="1" sizeWithCells="1">
                  <from>
                    <xdr:col>37</xdr:col>
                    <xdr:colOff>255814</xdr:colOff>
                    <xdr:row>3</xdr:row>
                    <xdr:rowOff>27214</xdr:rowOff>
                  </from>
                  <to>
                    <xdr:col>40</xdr:col>
                    <xdr:colOff>370114</xdr:colOff>
                    <xdr:row>3</xdr:row>
                    <xdr:rowOff>408214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" name="Button 78">
              <controlPr defaultSize="0" print="0" autoFill="0" autoPict="0" macro="[0]!清除姓名">
                <anchor moveWithCells="1" sizeWithCells="1">
                  <from>
                    <xdr:col>9</xdr:col>
                    <xdr:colOff>76200</xdr:colOff>
                    <xdr:row>4</xdr:row>
                    <xdr:rowOff>0</xdr:rowOff>
                  </from>
                  <to>
                    <xdr:col>11</xdr:col>
                    <xdr:colOff>408214</xdr:colOff>
                    <xdr:row>4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5" id="{D860C275-4227-4480-986E-AAE37861F950}">
            <xm:f>MATCH(E$6,對照表!$T$1:$T$10,0)</xm:f>
            <x14:dxf>
              <font>
                <b/>
                <i val="0"/>
                <color theme="0"/>
              </font>
              <fill>
                <patternFill>
                  <bgColor rgb="FFFF6161"/>
                </patternFill>
              </fill>
            </x14:dxf>
          </x14:cfRule>
          <x14:cfRule type="expression" priority="2670" id="{CD7A87B5-9222-49A4-BC21-F3ADBF5D8311}">
            <xm:f>MATCH(E$6,對照表!$O$1:$O$37,0)</xm:f>
            <x14:dxf>
              <font>
                <b/>
                <i val="0"/>
                <color theme="0"/>
              </font>
              <fill>
                <patternFill>
                  <bgColor rgb="FFFF6161"/>
                </patternFill>
              </fill>
            </x14:dxf>
          </x14:cfRule>
          <x14:cfRule type="expression" priority="2676" id="{6E8BBF45-CA2B-4773-97AD-754C9F6C808E}">
            <xm:f>MATCH(E$6,對照表!$J$1:$J$31,0)</xm:f>
            <x14:dxf>
              <font>
                <b/>
                <i val="0"/>
                <color theme="0"/>
              </font>
              <fill>
                <patternFill>
                  <bgColor rgb="FFFF6D6D"/>
                </patternFill>
              </fill>
            </x14:dxf>
          </x14:cfRule>
          <x14:cfRule type="expression" priority="3723" id="{B65DAB85-4BE6-4785-A35D-E65B993AED0F}">
            <xm:f>MATCH(E$6,對照表!$E$1:$E$22,0)</xm:f>
            <x14:dxf>
              <fill>
                <patternFill>
                  <bgColor rgb="FFFF6969"/>
                </patternFill>
              </fill>
            </x14:dxf>
          </x14:cfRule>
          <xm:sqref>E6:AI25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對照表!$A$3:$A$22</xm:f>
          </x14:formula1>
          <xm:sqref>E3:K4 D8:D25</xm:sqref>
        </x14:dataValidation>
        <x14:dataValidation type="list" allowBlank="1" showInputMessage="1" showErrorMessage="1" xr:uid="{00000000-0002-0000-0000-000001000000}">
          <x14:formula1>
            <xm:f>對照表!$B$2:$B$38</xm:f>
          </x14:formula1>
          <xm:sqref>E8:AI25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W42"/>
  <sheetViews>
    <sheetView workbookViewId="0">
      <selection activeCell="B34" sqref="B34"/>
    </sheetView>
  </sheetViews>
  <sheetFormatPr defaultColWidth="8.84375" defaultRowHeight="16.75"/>
  <cols>
    <col min="1" max="2" width="9" style="1"/>
    <col min="5" max="5" width="11.84375" style="2" bestFit="1" customWidth="1"/>
    <col min="10" max="10" width="12.15234375" style="1" customWidth="1"/>
    <col min="11" max="11" width="8.61328125" style="1" customWidth="1"/>
    <col min="12" max="12" width="8.84375" hidden="1" customWidth="1"/>
    <col min="13" max="13" width="10.61328125" customWidth="1"/>
    <col min="15" max="15" width="10.15234375" customWidth="1"/>
    <col min="18" max="18" width="10" customWidth="1"/>
    <col min="20" max="20" width="10.4609375" bestFit="1" customWidth="1"/>
    <col min="23" max="23" width="10.4609375" bestFit="1" customWidth="1"/>
  </cols>
  <sheetData>
    <row r="1" spans="1:23" ht="35.15" customHeight="1">
      <c r="A1" s="1" t="s">
        <v>99</v>
      </c>
      <c r="B1" s="1" t="s">
        <v>2</v>
      </c>
      <c r="E1" s="63">
        <v>44197</v>
      </c>
      <c r="F1" s="61" t="s">
        <v>28</v>
      </c>
      <c r="G1" s="64" t="s">
        <v>29</v>
      </c>
      <c r="J1" s="60">
        <v>44562</v>
      </c>
      <c r="K1" s="61" t="s">
        <v>41</v>
      </c>
      <c r="L1" s="62"/>
      <c r="M1" s="62" t="s">
        <v>78</v>
      </c>
      <c r="O1" s="60">
        <v>44927</v>
      </c>
      <c r="P1" s="71" t="s">
        <v>91</v>
      </c>
      <c r="Q1" s="62"/>
      <c r="R1" s="62" t="s">
        <v>78</v>
      </c>
      <c r="T1" s="78">
        <v>45386</v>
      </c>
      <c r="U1" s="79" t="s">
        <v>96</v>
      </c>
      <c r="V1" s="79"/>
      <c r="W1" s="79" t="s">
        <v>137</v>
      </c>
    </row>
    <row r="2" spans="1:23" ht="35.15" customHeight="1">
      <c r="A2" s="1" t="s">
        <v>53</v>
      </c>
      <c r="E2" s="63">
        <v>44197</v>
      </c>
      <c r="F2" s="61" t="s">
        <v>28</v>
      </c>
      <c r="G2" s="64" t="s">
        <v>30</v>
      </c>
      <c r="J2" s="60">
        <v>44563</v>
      </c>
      <c r="K2" s="61" t="s">
        <v>33</v>
      </c>
      <c r="L2" s="62"/>
      <c r="M2" s="62" t="s">
        <v>78</v>
      </c>
      <c r="O2" s="60">
        <v>44928</v>
      </c>
      <c r="P2" s="71" t="s">
        <v>92</v>
      </c>
      <c r="Q2" s="62"/>
      <c r="R2" s="62" t="s">
        <v>78</v>
      </c>
      <c r="T2" s="78">
        <v>45387</v>
      </c>
      <c r="U2" s="79" t="s">
        <v>28</v>
      </c>
      <c r="V2" s="79"/>
      <c r="W2" s="79" t="s">
        <v>137</v>
      </c>
    </row>
    <row r="3" spans="1:23" ht="35.15" customHeight="1">
      <c r="A3" s="1" t="s">
        <v>50</v>
      </c>
      <c r="B3" s="25" t="s">
        <v>101</v>
      </c>
      <c r="E3" s="63">
        <v>44237</v>
      </c>
      <c r="F3" s="61" t="s">
        <v>31</v>
      </c>
      <c r="G3" s="64" t="s">
        <v>32</v>
      </c>
      <c r="J3" s="60">
        <v>44590</v>
      </c>
      <c r="K3" s="61" t="s">
        <v>41</v>
      </c>
      <c r="L3" s="62"/>
      <c r="M3" s="62" t="s">
        <v>79</v>
      </c>
      <c r="O3" s="60">
        <v>44946</v>
      </c>
      <c r="P3" s="71" t="s">
        <v>93</v>
      </c>
      <c r="Q3" s="62"/>
      <c r="R3" s="62" t="s">
        <v>79</v>
      </c>
      <c r="T3" s="78">
        <v>45388</v>
      </c>
      <c r="U3" s="79" t="s">
        <v>41</v>
      </c>
      <c r="V3" s="79"/>
      <c r="W3" s="79" t="s">
        <v>137</v>
      </c>
    </row>
    <row r="4" spans="1:23" ht="35.15" customHeight="1">
      <c r="A4" s="1" t="s">
        <v>51</v>
      </c>
      <c r="B4" s="74" t="s">
        <v>102</v>
      </c>
      <c r="E4" s="63">
        <v>44238</v>
      </c>
      <c r="F4" s="61"/>
      <c r="G4" s="64"/>
      <c r="J4" s="60">
        <v>44591</v>
      </c>
      <c r="K4" s="61" t="s">
        <v>33</v>
      </c>
      <c r="L4" s="62"/>
      <c r="M4" s="62" t="s">
        <v>79</v>
      </c>
      <c r="O4" s="60">
        <v>44947</v>
      </c>
      <c r="P4" s="71" t="s">
        <v>41</v>
      </c>
      <c r="Q4" s="62"/>
      <c r="R4" s="62" t="s">
        <v>94</v>
      </c>
      <c r="T4" s="78">
        <v>45389</v>
      </c>
      <c r="U4" s="79" t="s">
        <v>33</v>
      </c>
      <c r="V4" s="79"/>
      <c r="W4" s="79" t="s">
        <v>137</v>
      </c>
    </row>
    <row r="5" spans="1:23" ht="35.15" customHeight="1">
      <c r="A5" s="1" t="s">
        <v>52</v>
      </c>
      <c r="B5" s="25" t="s">
        <v>103</v>
      </c>
      <c r="E5" s="63">
        <v>44239</v>
      </c>
      <c r="F5" s="61"/>
      <c r="G5" s="64"/>
      <c r="J5" s="60">
        <v>44592</v>
      </c>
      <c r="K5" s="61" t="s">
        <v>35</v>
      </c>
      <c r="L5" s="62"/>
      <c r="M5" s="62" t="s">
        <v>79</v>
      </c>
      <c r="O5" s="60">
        <v>44948</v>
      </c>
      <c r="P5" s="71" t="s">
        <v>33</v>
      </c>
      <c r="Q5" s="62"/>
      <c r="R5" s="62" t="s">
        <v>79</v>
      </c>
      <c r="T5" s="78">
        <v>45451</v>
      </c>
      <c r="U5" s="79" t="s">
        <v>41</v>
      </c>
      <c r="V5" s="79"/>
      <c r="W5" s="79" t="s">
        <v>85</v>
      </c>
    </row>
    <row r="6" spans="1:23" ht="35.15" customHeight="1">
      <c r="A6" s="1" t="s">
        <v>60</v>
      </c>
      <c r="B6" s="25" t="s">
        <v>104</v>
      </c>
      <c r="E6" s="63">
        <v>44240</v>
      </c>
      <c r="F6" s="61"/>
      <c r="G6" s="64"/>
      <c r="J6" s="60">
        <v>44593</v>
      </c>
      <c r="K6" s="61" t="s">
        <v>45</v>
      </c>
      <c r="L6" s="62"/>
      <c r="M6" s="62" t="s">
        <v>79</v>
      </c>
      <c r="O6" s="60">
        <v>44949</v>
      </c>
      <c r="P6" s="71" t="s">
        <v>35</v>
      </c>
      <c r="Q6" s="62"/>
      <c r="R6" s="62" t="s">
        <v>79</v>
      </c>
      <c r="T6" s="78">
        <v>45452</v>
      </c>
      <c r="U6" s="79" t="s">
        <v>33</v>
      </c>
      <c r="V6" s="79"/>
      <c r="W6" s="79" t="s">
        <v>85</v>
      </c>
    </row>
    <row r="7" spans="1:23" ht="35.15" customHeight="1">
      <c r="A7" s="1" t="s">
        <v>54</v>
      </c>
      <c r="B7" s="25" t="s">
        <v>105</v>
      </c>
      <c r="E7" s="63">
        <v>44241</v>
      </c>
      <c r="F7" s="61"/>
      <c r="G7" s="64"/>
      <c r="J7" s="60">
        <v>44594</v>
      </c>
      <c r="K7" s="61" t="s">
        <v>76</v>
      </c>
      <c r="L7" s="62"/>
      <c r="M7" s="62" t="s">
        <v>79</v>
      </c>
      <c r="O7" s="60">
        <v>44950</v>
      </c>
      <c r="P7" s="71" t="s">
        <v>45</v>
      </c>
      <c r="Q7" s="62"/>
      <c r="R7" s="62" t="s">
        <v>79</v>
      </c>
      <c r="T7" s="78">
        <v>45453</v>
      </c>
      <c r="U7" s="79" t="s">
        <v>35</v>
      </c>
      <c r="V7" s="79"/>
      <c r="W7" s="79" t="s">
        <v>85</v>
      </c>
    </row>
    <row r="8" spans="1:23" ht="35.15" customHeight="1">
      <c r="A8" s="1" t="s">
        <v>55</v>
      </c>
      <c r="B8" s="25" t="s">
        <v>106</v>
      </c>
      <c r="E8" s="63">
        <v>44242</v>
      </c>
      <c r="F8" s="61"/>
      <c r="G8" s="64"/>
      <c r="J8" s="60">
        <v>44595</v>
      </c>
      <c r="K8" s="61" t="s">
        <v>77</v>
      </c>
      <c r="L8" s="62"/>
      <c r="M8" s="62" t="s">
        <v>79</v>
      </c>
      <c r="O8" s="60">
        <v>44951</v>
      </c>
      <c r="P8" s="71" t="s">
        <v>76</v>
      </c>
      <c r="Q8" s="62"/>
      <c r="R8" s="62" t="s">
        <v>79</v>
      </c>
      <c r="T8" s="78">
        <v>45552</v>
      </c>
      <c r="U8" s="79" t="s">
        <v>138</v>
      </c>
      <c r="V8" s="79"/>
      <c r="W8" s="79" t="s">
        <v>86</v>
      </c>
    </row>
    <row r="9" spans="1:23" ht="35.15" customHeight="1">
      <c r="A9" s="1" t="s">
        <v>56</v>
      </c>
      <c r="B9" s="25" t="s">
        <v>107</v>
      </c>
      <c r="E9" s="63">
        <v>44243</v>
      </c>
      <c r="F9" s="61"/>
      <c r="G9" s="64"/>
      <c r="J9" s="60">
        <v>44596</v>
      </c>
      <c r="K9" s="61" t="s">
        <v>28</v>
      </c>
      <c r="L9" s="62"/>
      <c r="M9" s="62" t="s">
        <v>79</v>
      </c>
      <c r="O9" s="60">
        <v>44952</v>
      </c>
      <c r="P9" s="71" t="s">
        <v>77</v>
      </c>
      <c r="Q9" s="62"/>
      <c r="R9" s="62" t="s">
        <v>79</v>
      </c>
      <c r="T9" s="78">
        <v>45575</v>
      </c>
      <c r="U9" s="79" t="s">
        <v>96</v>
      </c>
      <c r="V9" s="79"/>
      <c r="W9" s="79" t="s">
        <v>87</v>
      </c>
    </row>
    <row r="10" spans="1:23" ht="35.15" customHeight="1">
      <c r="A10" s="1" t="s">
        <v>57</v>
      </c>
      <c r="B10" s="25" t="s">
        <v>108</v>
      </c>
      <c r="E10" s="63">
        <v>44255</v>
      </c>
      <c r="F10" s="61" t="s">
        <v>33</v>
      </c>
      <c r="G10" s="64" t="s">
        <v>34</v>
      </c>
      <c r="J10" s="60">
        <v>44597</v>
      </c>
      <c r="K10" s="61" t="s">
        <v>41</v>
      </c>
      <c r="L10" s="62"/>
      <c r="M10" s="62" t="s">
        <v>79</v>
      </c>
      <c r="O10" s="60">
        <v>44953</v>
      </c>
      <c r="P10" s="71" t="s">
        <v>28</v>
      </c>
      <c r="Q10" s="62"/>
      <c r="R10" s="62" t="s">
        <v>79</v>
      </c>
      <c r="T10" s="78">
        <v>45413</v>
      </c>
      <c r="U10" s="79" t="s">
        <v>139</v>
      </c>
      <c r="V10" s="79"/>
      <c r="W10" s="79" t="s">
        <v>84</v>
      </c>
    </row>
    <row r="11" spans="1:23" ht="35.15" customHeight="1">
      <c r="A11" s="1" t="s">
        <v>58</v>
      </c>
      <c r="B11" s="25" t="s">
        <v>109</v>
      </c>
      <c r="E11" s="63">
        <v>44256</v>
      </c>
      <c r="F11" s="61" t="s">
        <v>35</v>
      </c>
      <c r="G11" s="64" t="s">
        <v>36</v>
      </c>
      <c r="J11" s="60">
        <v>44598</v>
      </c>
      <c r="K11" s="61" t="s">
        <v>33</v>
      </c>
      <c r="L11" s="62"/>
      <c r="M11" s="62" t="s">
        <v>79</v>
      </c>
      <c r="O11" s="60">
        <v>44954</v>
      </c>
      <c r="P11" s="71" t="s">
        <v>41</v>
      </c>
      <c r="Q11" s="62"/>
      <c r="R11" s="62" t="s">
        <v>79</v>
      </c>
    </row>
    <row r="12" spans="1:23" ht="35.15" customHeight="1">
      <c r="A12" s="1" t="s">
        <v>59</v>
      </c>
      <c r="B12" s="25" t="s">
        <v>110</v>
      </c>
      <c r="E12" s="63">
        <v>44288</v>
      </c>
      <c r="F12" s="61" t="s">
        <v>28</v>
      </c>
      <c r="G12" s="64" t="s">
        <v>37</v>
      </c>
      <c r="J12" s="60">
        <v>44618</v>
      </c>
      <c r="K12" s="61" t="s">
        <v>41</v>
      </c>
      <c r="L12" s="62"/>
      <c r="M12" s="62" t="s">
        <v>80</v>
      </c>
      <c r="O12" s="60">
        <v>44955</v>
      </c>
      <c r="P12" s="71" t="s">
        <v>33</v>
      </c>
      <c r="Q12" s="62"/>
      <c r="R12" s="62" t="s">
        <v>79</v>
      </c>
    </row>
    <row r="13" spans="1:23" ht="35.15" customHeight="1">
      <c r="A13" s="1" t="s">
        <v>61</v>
      </c>
      <c r="B13" s="25" t="s">
        <v>111</v>
      </c>
      <c r="E13" s="63">
        <v>44290</v>
      </c>
      <c r="F13" s="61" t="s">
        <v>33</v>
      </c>
      <c r="G13" s="64" t="s">
        <v>38</v>
      </c>
      <c r="J13" s="60">
        <v>44619</v>
      </c>
      <c r="K13" s="61" t="s">
        <v>33</v>
      </c>
      <c r="L13" s="62"/>
      <c r="M13" s="62" t="s">
        <v>81</v>
      </c>
      <c r="O13" s="60">
        <v>44982</v>
      </c>
      <c r="P13" s="71" t="s">
        <v>95</v>
      </c>
      <c r="Q13" s="62"/>
      <c r="R13" s="62" t="s">
        <v>80</v>
      </c>
    </row>
    <row r="14" spans="1:23" ht="35.15" customHeight="1">
      <c r="A14" s="1" t="s">
        <v>62</v>
      </c>
      <c r="B14" s="25" t="s">
        <v>112</v>
      </c>
      <c r="E14" s="63">
        <v>44290</v>
      </c>
      <c r="F14" s="61" t="s">
        <v>33</v>
      </c>
      <c r="G14" s="64" t="s">
        <v>39</v>
      </c>
      <c r="J14" s="60">
        <v>44620</v>
      </c>
      <c r="K14" s="61" t="s">
        <v>35</v>
      </c>
      <c r="L14" s="62"/>
      <c r="M14" s="62" t="s">
        <v>82</v>
      </c>
      <c r="O14" s="60">
        <v>44983</v>
      </c>
      <c r="P14" s="71" t="s">
        <v>33</v>
      </c>
      <c r="Q14" s="62"/>
      <c r="R14" s="62" t="s">
        <v>80</v>
      </c>
    </row>
    <row r="15" spans="1:23" ht="35.15" customHeight="1">
      <c r="A15" s="1" t="s">
        <v>63</v>
      </c>
      <c r="B15" s="25" t="s">
        <v>113</v>
      </c>
      <c r="E15" s="63">
        <v>44291</v>
      </c>
      <c r="F15" s="61" t="s">
        <v>35</v>
      </c>
      <c r="G15" s="64" t="s">
        <v>40</v>
      </c>
      <c r="J15" s="60">
        <v>44653</v>
      </c>
      <c r="K15" s="61" t="s">
        <v>41</v>
      </c>
      <c r="L15" s="62"/>
      <c r="M15" s="62" t="s">
        <v>83</v>
      </c>
      <c r="O15" s="60">
        <v>44984</v>
      </c>
      <c r="P15" s="71" t="s">
        <v>35</v>
      </c>
      <c r="Q15" s="62"/>
      <c r="R15" s="62" t="s">
        <v>80</v>
      </c>
    </row>
    <row r="16" spans="1:23" ht="35.15" customHeight="1">
      <c r="A16" s="1" t="s">
        <v>64</v>
      </c>
      <c r="B16" s="25" t="s">
        <v>114</v>
      </c>
      <c r="E16" s="63">
        <v>44317</v>
      </c>
      <c r="F16" s="61" t="s">
        <v>41</v>
      </c>
      <c r="G16" s="64" t="s">
        <v>42</v>
      </c>
      <c r="J16" s="60">
        <v>44654</v>
      </c>
      <c r="K16" s="61" t="s">
        <v>33</v>
      </c>
      <c r="L16" s="62"/>
      <c r="M16" s="62" t="s">
        <v>83</v>
      </c>
      <c r="O16" s="60">
        <v>44985</v>
      </c>
      <c r="P16" s="71" t="s">
        <v>45</v>
      </c>
      <c r="Q16" s="62"/>
      <c r="R16" s="62" t="s">
        <v>80</v>
      </c>
    </row>
    <row r="17" spans="1:18" ht="35.15" customHeight="1">
      <c r="A17" s="1" t="s">
        <v>75</v>
      </c>
      <c r="B17" s="25" t="s">
        <v>115</v>
      </c>
      <c r="E17" s="63">
        <v>44361</v>
      </c>
      <c r="F17" s="61" t="s">
        <v>35</v>
      </c>
      <c r="G17" s="64" t="s">
        <v>43</v>
      </c>
      <c r="J17" s="60">
        <v>44655</v>
      </c>
      <c r="K17" s="61" t="s">
        <v>35</v>
      </c>
      <c r="L17" s="62"/>
      <c r="M17" s="62" t="s">
        <v>83</v>
      </c>
      <c r="O17" s="60">
        <v>45017</v>
      </c>
      <c r="P17" s="71" t="s">
        <v>95</v>
      </c>
      <c r="Q17" s="62"/>
      <c r="R17" s="62" t="s">
        <v>83</v>
      </c>
    </row>
    <row r="18" spans="1:18" ht="35.15" customHeight="1">
      <c r="A18" s="1" t="s">
        <v>89</v>
      </c>
      <c r="B18" s="75" t="s">
        <v>116</v>
      </c>
      <c r="E18" s="63">
        <v>44459</v>
      </c>
      <c r="F18" s="61" t="s">
        <v>35</v>
      </c>
      <c r="G18" s="64" t="s">
        <v>44</v>
      </c>
      <c r="J18" s="60">
        <v>44656</v>
      </c>
      <c r="K18" s="61" t="s">
        <v>45</v>
      </c>
      <c r="L18" s="62"/>
      <c r="M18" s="62" t="s">
        <v>83</v>
      </c>
      <c r="O18" s="60">
        <v>45018</v>
      </c>
      <c r="P18" s="71" t="s">
        <v>33</v>
      </c>
      <c r="Q18" s="62"/>
      <c r="R18" s="62" t="s">
        <v>83</v>
      </c>
    </row>
    <row r="19" spans="1:18" ht="35.15" customHeight="1">
      <c r="A19" s="1" t="s">
        <v>97</v>
      </c>
      <c r="B19" s="25" t="s">
        <v>117</v>
      </c>
      <c r="E19" s="63">
        <v>44460</v>
      </c>
      <c r="F19" s="61" t="s">
        <v>45</v>
      </c>
      <c r="G19" s="64" t="s">
        <v>46</v>
      </c>
      <c r="J19" s="60">
        <v>44681</v>
      </c>
      <c r="K19" s="61" t="s">
        <v>41</v>
      </c>
      <c r="L19" s="62"/>
      <c r="M19" s="62" t="s">
        <v>84</v>
      </c>
      <c r="O19" s="60">
        <v>45019</v>
      </c>
      <c r="P19" s="71" t="s">
        <v>35</v>
      </c>
      <c r="Q19" s="62"/>
      <c r="R19" s="62" t="s">
        <v>83</v>
      </c>
    </row>
    <row r="20" spans="1:18" ht="35.15" customHeight="1">
      <c r="A20" s="1" t="s">
        <v>98</v>
      </c>
      <c r="B20" s="25" t="s">
        <v>118</v>
      </c>
      <c r="E20" s="63">
        <v>44479</v>
      </c>
      <c r="F20" s="61" t="s">
        <v>33</v>
      </c>
      <c r="G20" s="64" t="s">
        <v>47</v>
      </c>
      <c r="J20" s="60">
        <v>44682</v>
      </c>
      <c r="K20" s="61" t="s">
        <v>33</v>
      </c>
      <c r="L20" s="62"/>
      <c r="M20" s="62" t="s">
        <v>84</v>
      </c>
      <c r="O20" s="60">
        <v>45020</v>
      </c>
      <c r="P20" s="71" t="s">
        <v>45</v>
      </c>
      <c r="Q20" s="62"/>
      <c r="R20" s="62" t="s">
        <v>83</v>
      </c>
    </row>
    <row r="21" spans="1:18" ht="35.15" customHeight="1">
      <c r="A21" s="72" t="s">
        <v>100</v>
      </c>
      <c r="B21" s="25" t="s">
        <v>119</v>
      </c>
      <c r="E21" s="63">
        <v>44480</v>
      </c>
      <c r="F21" s="61" t="s">
        <v>35</v>
      </c>
      <c r="G21" s="64" t="s">
        <v>48</v>
      </c>
      <c r="J21" s="60">
        <v>44683</v>
      </c>
      <c r="K21" s="61" t="s">
        <v>35</v>
      </c>
      <c r="L21" s="62"/>
      <c r="M21" s="62" t="s">
        <v>84</v>
      </c>
      <c r="O21" s="60">
        <v>45021</v>
      </c>
      <c r="P21" s="71" t="s">
        <v>76</v>
      </c>
      <c r="Q21" s="62"/>
      <c r="R21" s="62" t="s">
        <v>83</v>
      </c>
    </row>
    <row r="22" spans="1:18" ht="35.15" customHeight="1">
      <c r="A22" s="1" t="s">
        <v>140</v>
      </c>
      <c r="B22" s="25" t="s">
        <v>120</v>
      </c>
      <c r="E22" s="63">
        <v>44561</v>
      </c>
      <c r="F22" s="61" t="s">
        <v>28</v>
      </c>
      <c r="G22" s="64" t="s">
        <v>49</v>
      </c>
      <c r="J22" s="60">
        <v>44715</v>
      </c>
      <c r="K22" s="61" t="s">
        <v>28</v>
      </c>
      <c r="L22" s="62"/>
      <c r="M22" s="62" t="s">
        <v>85</v>
      </c>
      <c r="O22" s="60">
        <v>45045</v>
      </c>
      <c r="P22" s="71" t="s">
        <v>95</v>
      </c>
      <c r="Q22" s="62"/>
      <c r="R22" s="62" t="s">
        <v>84</v>
      </c>
    </row>
    <row r="23" spans="1:18" ht="35.15" customHeight="1">
      <c r="A23" s="1" t="s">
        <v>141</v>
      </c>
      <c r="B23" s="25" t="s">
        <v>121</v>
      </c>
      <c r="J23" s="60">
        <v>44716</v>
      </c>
      <c r="K23" s="61" t="s">
        <v>41</v>
      </c>
      <c r="L23" s="62"/>
      <c r="M23" s="62" t="s">
        <v>85</v>
      </c>
      <c r="O23" s="60">
        <v>45046</v>
      </c>
      <c r="P23" s="71" t="s">
        <v>33</v>
      </c>
      <c r="Q23" s="62"/>
      <c r="R23" s="62" t="s">
        <v>84</v>
      </c>
    </row>
    <row r="24" spans="1:18" ht="27" customHeight="1">
      <c r="B24" s="25" t="s">
        <v>122</v>
      </c>
      <c r="J24" s="60">
        <v>44717</v>
      </c>
      <c r="K24" s="61" t="s">
        <v>33</v>
      </c>
      <c r="L24" s="62"/>
      <c r="M24" s="62" t="s">
        <v>85</v>
      </c>
      <c r="O24" s="60">
        <v>45047</v>
      </c>
      <c r="P24" s="71" t="s">
        <v>35</v>
      </c>
      <c r="Q24" s="62"/>
      <c r="R24" s="62" t="s">
        <v>84</v>
      </c>
    </row>
    <row r="25" spans="1:18" ht="24.45">
      <c r="B25" s="46" t="s">
        <v>123</v>
      </c>
      <c r="J25" s="60">
        <v>44813</v>
      </c>
      <c r="K25" s="61" t="s">
        <v>28</v>
      </c>
      <c r="L25" s="62"/>
      <c r="M25" s="62" t="s">
        <v>86</v>
      </c>
      <c r="O25" s="60">
        <v>45099</v>
      </c>
      <c r="P25" s="71" t="s">
        <v>96</v>
      </c>
      <c r="Q25" s="62"/>
      <c r="R25" s="62" t="s">
        <v>85</v>
      </c>
    </row>
    <row r="26" spans="1:18" ht="24.45">
      <c r="B26" s="46" t="s">
        <v>124</v>
      </c>
      <c r="J26" s="60">
        <v>44814</v>
      </c>
      <c r="K26" s="61" t="s">
        <v>41</v>
      </c>
      <c r="L26" s="62"/>
      <c r="M26" s="62" t="s">
        <v>86</v>
      </c>
      <c r="O26" s="60">
        <v>45100</v>
      </c>
      <c r="P26" s="71" t="s">
        <v>28</v>
      </c>
      <c r="Q26" s="62"/>
      <c r="R26" s="62" t="s">
        <v>85</v>
      </c>
    </row>
    <row r="27" spans="1:18" ht="25.5" customHeight="1">
      <c r="B27" s="46" t="s">
        <v>125</v>
      </c>
      <c r="J27" s="60">
        <v>44815</v>
      </c>
      <c r="K27" s="61" t="s">
        <v>33</v>
      </c>
      <c r="L27" s="62"/>
      <c r="M27" s="62" t="s">
        <v>86</v>
      </c>
      <c r="O27" s="60">
        <v>45101</v>
      </c>
      <c r="P27" s="71" t="s">
        <v>41</v>
      </c>
      <c r="Q27" s="62"/>
      <c r="R27" s="62" t="s">
        <v>85</v>
      </c>
    </row>
    <row r="28" spans="1:18" ht="25.5" customHeight="1">
      <c r="B28" s="46" t="s">
        <v>126</v>
      </c>
      <c r="J28" s="60">
        <v>44842</v>
      </c>
      <c r="K28" s="61" t="s">
        <v>41</v>
      </c>
      <c r="L28" s="62"/>
      <c r="M28" s="62" t="s">
        <v>87</v>
      </c>
      <c r="O28" s="60">
        <v>45102</v>
      </c>
      <c r="P28" s="71" t="s">
        <v>33</v>
      </c>
      <c r="Q28" s="62"/>
      <c r="R28" s="62" t="s">
        <v>85</v>
      </c>
    </row>
    <row r="29" spans="1:18" ht="25.5" customHeight="1">
      <c r="B29" s="76" t="s">
        <v>127</v>
      </c>
      <c r="J29" s="60">
        <v>44843</v>
      </c>
      <c r="K29" s="61" t="s">
        <v>33</v>
      </c>
      <c r="L29" s="62"/>
      <c r="M29" s="62" t="s">
        <v>87</v>
      </c>
      <c r="O29" s="60">
        <v>45198</v>
      </c>
      <c r="P29" s="71" t="s">
        <v>93</v>
      </c>
      <c r="Q29" s="62"/>
      <c r="R29" s="62" t="s">
        <v>86</v>
      </c>
    </row>
    <row r="30" spans="1:18" ht="25.5" customHeight="1">
      <c r="B30" s="46" t="s">
        <v>128</v>
      </c>
      <c r="J30" s="60">
        <v>44844</v>
      </c>
      <c r="K30" s="61" t="s">
        <v>35</v>
      </c>
      <c r="L30" s="62"/>
      <c r="M30" s="62" t="s">
        <v>87</v>
      </c>
      <c r="O30" s="60">
        <v>45199</v>
      </c>
      <c r="P30" s="71" t="s">
        <v>41</v>
      </c>
      <c r="Q30" s="62"/>
      <c r="R30" s="62" t="s">
        <v>86</v>
      </c>
    </row>
    <row r="31" spans="1:18" ht="25.5" customHeight="1">
      <c r="B31" s="77" t="s">
        <v>129</v>
      </c>
      <c r="J31" s="60">
        <v>44926</v>
      </c>
      <c r="K31" s="61" t="s">
        <v>41</v>
      </c>
      <c r="L31" s="62"/>
      <c r="M31" s="62" t="s">
        <v>88</v>
      </c>
      <c r="O31" s="60">
        <v>45200</v>
      </c>
      <c r="P31" s="71" t="s">
        <v>33</v>
      </c>
      <c r="Q31" s="62"/>
      <c r="R31" s="62" t="s">
        <v>86</v>
      </c>
    </row>
    <row r="32" spans="1:18" ht="25.5" customHeight="1">
      <c r="B32" s="73" t="s">
        <v>130</v>
      </c>
      <c r="O32" s="60">
        <v>45206</v>
      </c>
      <c r="P32" s="71" t="s">
        <v>41</v>
      </c>
      <c r="Q32" s="62"/>
      <c r="R32" s="62" t="s">
        <v>87</v>
      </c>
    </row>
    <row r="33" spans="2:18" ht="25.5" customHeight="1">
      <c r="B33" s="46" t="s">
        <v>131</v>
      </c>
      <c r="O33" s="60">
        <v>45207</v>
      </c>
      <c r="P33" s="71" t="s">
        <v>33</v>
      </c>
      <c r="Q33" s="62"/>
      <c r="R33" s="62" t="s">
        <v>87</v>
      </c>
    </row>
    <row r="34" spans="2:18" ht="25.5" customHeight="1">
      <c r="B34" s="46" t="s">
        <v>132</v>
      </c>
      <c r="O34" s="60">
        <v>45208</v>
      </c>
      <c r="P34" s="71" t="s">
        <v>35</v>
      </c>
      <c r="Q34" s="62"/>
      <c r="R34" s="62" t="s">
        <v>87</v>
      </c>
    </row>
    <row r="35" spans="2:18" ht="25.5" customHeight="1">
      <c r="B35" s="46" t="s">
        <v>133</v>
      </c>
      <c r="O35" s="60">
        <v>45209</v>
      </c>
      <c r="P35" s="71" t="s">
        <v>45</v>
      </c>
      <c r="Q35" s="62"/>
      <c r="R35" s="62" t="s">
        <v>87</v>
      </c>
    </row>
    <row r="36" spans="2:18" ht="25.5" customHeight="1">
      <c r="B36" s="46" t="s">
        <v>134</v>
      </c>
      <c r="O36" s="60">
        <v>45290</v>
      </c>
      <c r="P36" s="71" t="s">
        <v>95</v>
      </c>
      <c r="Q36" s="62"/>
      <c r="R36" s="62" t="s">
        <v>78</v>
      </c>
    </row>
    <row r="37" spans="2:18" ht="25.5" customHeight="1">
      <c r="B37" s="46" t="s">
        <v>135</v>
      </c>
      <c r="O37" s="60">
        <v>45291</v>
      </c>
      <c r="P37" s="71" t="s">
        <v>33</v>
      </c>
      <c r="Q37" s="62"/>
      <c r="R37" s="62" t="s">
        <v>78</v>
      </c>
    </row>
    <row r="38" spans="2:18" ht="25.5" customHeight="1">
      <c r="B38" s="46" t="s">
        <v>136</v>
      </c>
    </row>
    <row r="39" spans="2:18" ht="25.5" customHeight="1"/>
    <row r="40" spans="2:18" ht="25.5" customHeight="1"/>
    <row r="41" spans="2:18" ht="25.5" customHeight="1"/>
    <row r="42" spans="2:18" ht="25.5" customHeight="1"/>
  </sheetData>
  <phoneticPr fontId="1" type="noConversion"/>
  <hyperlinks>
    <hyperlink ref="G1" r:id="rId1" display="https://publicholidays.tw/zh/new-years-day/" xr:uid="{00000000-0004-0000-0100-000000000000}"/>
    <hyperlink ref="G2" r:id="rId2" display="https://publicholidays.tw/zh/republic-day/" xr:uid="{00000000-0004-0000-0100-000001000000}"/>
    <hyperlink ref="G3" r:id="rId3" display="https://publicholidays.tw/zh/chinese-new-year/" xr:uid="{00000000-0004-0000-0100-000002000000}"/>
    <hyperlink ref="G10" r:id="rId4" display="https://publicholidays.tw/zh/228-peace-memorial-day/" xr:uid="{00000000-0004-0000-0100-000003000000}"/>
    <hyperlink ref="G11" r:id="rId5" display="https://publicholidays.tw/zh/228-peace-memorial-day/" xr:uid="{00000000-0004-0000-0100-000004000000}"/>
    <hyperlink ref="G12" r:id="rId6" display="https://publicholidays.tw/zh/childrens-day/" xr:uid="{00000000-0004-0000-0100-000005000000}"/>
    <hyperlink ref="G13" r:id="rId7" display="https://publicholidays.tw/zh/childrens-day/" xr:uid="{00000000-0004-0000-0100-000006000000}"/>
    <hyperlink ref="G14" r:id="rId8" display="https://publicholidays.tw/zh/qingming-festival/" xr:uid="{00000000-0004-0000-0100-000007000000}"/>
    <hyperlink ref="G15" r:id="rId9" display="https://publicholidays.tw/zh/qingming-festival/" xr:uid="{00000000-0004-0000-0100-000008000000}"/>
    <hyperlink ref="G16" r:id="rId10" display="https://publicholidays.tw/zh/labour-day/" xr:uid="{00000000-0004-0000-0100-000009000000}"/>
    <hyperlink ref="G17" r:id="rId11" display="https://publicholidays.tw/zh/dragon-boat-festival/" xr:uid="{00000000-0004-0000-0100-00000A000000}"/>
    <hyperlink ref="G18" r:id="rId12" display="https://publicholidays.tw/zh/mid-autumn-festival/" xr:uid="{00000000-0004-0000-0100-00000B000000}"/>
    <hyperlink ref="G19" r:id="rId13" display="https://publicholidays.tw/zh/mid-autumn-festival/" xr:uid="{00000000-0004-0000-0100-00000C000000}"/>
    <hyperlink ref="G20" r:id="rId14" display="https://publicholidays.tw/zh/national-day/" xr:uid="{00000000-0004-0000-0100-00000D000000}"/>
    <hyperlink ref="G21" r:id="rId15" display="https://publicholidays.tw/zh/national-day/" xr:uid="{00000000-0004-0000-0100-00000E000000}"/>
    <hyperlink ref="G22" r:id="rId16" display="https://publicholidays.tw/zh/republic-day/" xr:uid="{00000000-0004-0000-0100-00000F000000}"/>
  </hyperlinks>
  <pageMargins left="0.7" right="0.7" top="0.75" bottom="0.75" header="0.3" footer="0.3"/>
  <pageSetup paperSize="9" orientation="portrait" r:id="rId17"/>
  <tableParts count="2">
    <tablePart r:id="rId18"/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員工出勤表</vt:lpstr>
      <vt:lpstr>對照表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chijj</dc:creator>
  <cp:lastModifiedBy>醫療事務室-醫療服務_丁冠博</cp:lastModifiedBy>
  <cp:lastPrinted>2023-06-29T16:04:26Z</cp:lastPrinted>
  <dcterms:created xsi:type="dcterms:W3CDTF">2021-07-09T14:59:05Z</dcterms:created>
  <dcterms:modified xsi:type="dcterms:W3CDTF">2024-12-06T03:23:04Z</dcterms:modified>
</cp:coreProperties>
</file>